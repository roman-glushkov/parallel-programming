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GTU\parallel programming\2 lab\"/>
    </mc:Choice>
  </mc:AlternateContent>
  <bookViews>
    <workbookView xWindow="0" yWindow="0" windowWidth="23040" windowHeight="9960"/>
  </bookViews>
  <sheets>
    <sheet name="medians" sheetId="1" r:id="rId1"/>
  </sheets>
  <calcPr calcId="152511"/>
</workbook>
</file>

<file path=xl/calcChain.xml><?xml version="1.0" encoding="utf-8"?>
<calcChain xmlns="http://schemas.openxmlformats.org/spreadsheetml/2006/main">
  <c r="I4" i="1" l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I12" i="1"/>
  <c r="J12" i="1"/>
  <c r="K12" i="1"/>
  <c r="L12" i="1"/>
  <c r="I13" i="1"/>
  <c r="J13" i="1"/>
  <c r="K13" i="1"/>
  <c r="L13" i="1"/>
  <c r="I14" i="1"/>
  <c r="J14" i="1"/>
  <c r="K14" i="1"/>
  <c r="L14" i="1"/>
  <c r="I15" i="1"/>
  <c r="J15" i="1"/>
  <c r="K15" i="1"/>
  <c r="L15" i="1"/>
  <c r="I16" i="1"/>
  <c r="J16" i="1"/>
  <c r="K16" i="1"/>
  <c r="L16" i="1"/>
  <c r="I17" i="1"/>
  <c r="J17" i="1"/>
  <c r="K17" i="1"/>
  <c r="L17" i="1"/>
  <c r="I18" i="1"/>
  <c r="J18" i="1"/>
  <c r="K18" i="1"/>
  <c r="L18" i="1"/>
  <c r="L3" i="1"/>
  <c r="K3" i="1"/>
  <c r="J3" i="1"/>
  <c r="I3" i="1"/>
  <c r="E51" i="1"/>
  <c r="F51" i="1" s="1"/>
  <c r="X4" i="1" s="1"/>
  <c r="E52" i="1"/>
  <c r="F52" i="1" s="1"/>
  <c r="X5" i="1" s="1"/>
  <c r="E53" i="1"/>
  <c r="F53" i="1" s="1"/>
  <c r="X6" i="1" s="1"/>
  <c r="E54" i="1"/>
  <c r="F54" i="1" s="1"/>
  <c r="X7" i="1" s="1"/>
  <c r="E55" i="1"/>
  <c r="F55" i="1" s="1"/>
  <c r="X8" i="1" s="1"/>
  <c r="E56" i="1"/>
  <c r="F56" i="1" s="1"/>
  <c r="X9" i="1" s="1"/>
  <c r="E57" i="1"/>
  <c r="F57" i="1" s="1"/>
  <c r="X10" i="1" s="1"/>
  <c r="E58" i="1"/>
  <c r="F58" i="1" s="1"/>
  <c r="X11" i="1" s="1"/>
  <c r="E59" i="1"/>
  <c r="F59" i="1" s="1"/>
  <c r="X12" i="1" s="1"/>
  <c r="E60" i="1"/>
  <c r="F60" i="1" s="1"/>
  <c r="X13" i="1" s="1"/>
  <c r="E61" i="1"/>
  <c r="F61" i="1" s="1"/>
  <c r="X14" i="1" s="1"/>
  <c r="E62" i="1"/>
  <c r="F62" i="1" s="1"/>
  <c r="X15" i="1" s="1"/>
  <c r="E63" i="1"/>
  <c r="F63" i="1" s="1"/>
  <c r="X16" i="1" s="1"/>
  <c r="E64" i="1"/>
  <c r="F64" i="1" s="1"/>
  <c r="X17" i="1" s="1"/>
  <c r="E65" i="1"/>
  <c r="F65" i="1" s="1"/>
  <c r="X18" i="1" s="1"/>
  <c r="E50" i="1"/>
  <c r="F50" i="1" s="1"/>
  <c r="X3" i="1" s="1"/>
  <c r="E35" i="1"/>
  <c r="F35" i="1" s="1"/>
  <c r="W4" i="1" s="1"/>
  <c r="E36" i="1"/>
  <c r="F36" i="1" s="1"/>
  <c r="W5" i="1" s="1"/>
  <c r="E37" i="1"/>
  <c r="F37" i="1" s="1"/>
  <c r="W6" i="1" s="1"/>
  <c r="E38" i="1"/>
  <c r="F38" i="1" s="1"/>
  <c r="W7" i="1" s="1"/>
  <c r="E39" i="1"/>
  <c r="F39" i="1" s="1"/>
  <c r="W8" i="1" s="1"/>
  <c r="E40" i="1"/>
  <c r="F40" i="1" s="1"/>
  <c r="W9" i="1" s="1"/>
  <c r="E41" i="1"/>
  <c r="F41" i="1" s="1"/>
  <c r="W10" i="1" s="1"/>
  <c r="E42" i="1"/>
  <c r="F42" i="1" s="1"/>
  <c r="W11" i="1" s="1"/>
  <c r="E43" i="1"/>
  <c r="F43" i="1" s="1"/>
  <c r="W12" i="1" s="1"/>
  <c r="E44" i="1"/>
  <c r="F44" i="1" s="1"/>
  <c r="W13" i="1" s="1"/>
  <c r="E45" i="1"/>
  <c r="F45" i="1" s="1"/>
  <c r="W14" i="1" s="1"/>
  <c r="E46" i="1"/>
  <c r="F46" i="1" s="1"/>
  <c r="W15" i="1" s="1"/>
  <c r="E47" i="1"/>
  <c r="F47" i="1" s="1"/>
  <c r="W16" i="1" s="1"/>
  <c r="E48" i="1"/>
  <c r="F48" i="1" s="1"/>
  <c r="W17" i="1" s="1"/>
  <c r="E49" i="1"/>
  <c r="F49" i="1" s="1"/>
  <c r="W18" i="1" s="1"/>
  <c r="E34" i="1"/>
  <c r="F34" i="1" s="1"/>
  <c r="W3" i="1" s="1"/>
  <c r="E19" i="1"/>
  <c r="F19" i="1" s="1"/>
  <c r="V4" i="1" s="1"/>
  <c r="E20" i="1"/>
  <c r="F20" i="1" s="1"/>
  <c r="V5" i="1" s="1"/>
  <c r="E21" i="1"/>
  <c r="F21" i="1" s="1"/>
  <c r="V6" i="1" s="1"/>
  <c r="E22" i="1"/>
  <c r="F22" i="1" s="1"/>
  <c r="V7" i="1" s="1"/>
  <c r="E23" i="1"/>
  <c r="F23" i="1" s="1"/>
  <c r="V8" i="1" s="1"/>
  <c r="E24" i="1"/>
  <c r="F24" i="1" s="1"/>
  <c r="V9" i="1" s="1"/>
  <c r="E25" i="1"/>
  <c r="F25" i="1" s="1"/>
  <c r="V10" i="1" s="1"/>
  <c r="E26" i="1"/>
  <c r="F26" i="1" s="1"/>
  <c r="V11" i="1" s="1"/>
  <c r="E27" i="1"/>
  <c r="F27" i="1" s="1"/>
  <c r="V12" i="1" s="1"/>
  <c r="E28" i="1"/>
  <c r="F28" i="1" s="1"/>
  <c r="V13" i="1" s="1"/>
  <c r="E29" i="1"/>
  <c r="F29" i="1" s="1"/>
  <c r="V14" i="1" s="1"/>
  <c r="E30" i="1"/>
  <c r="F30" i="1" s="1"/>
  <c r="V15" i="1" s="1"/>
  <c r="E31" i="1"/>
  <c r="F31" i="1" s="1"/>
  <c r="V16" i="1" s="1"/>
  <c r="E32" i="1"/>
  <c r="F32" i="1" s="1"/>
  <c r="V17" i="1" s="1"/>
  <c r="E33" i="1"/>
  <c r="F33" i="1" s="1"/>
  <c r="V18" i="1" s="1"/>
  <c r="E18" i="1"/>
  <c r="F18" i="1" s="1"/>
  <c r="V3" i="1" s="1"/>
  <c r="E16" i="1"/>
  <c r="F16" i="1" s="1"/>
  <c r="U17" i="1" s="1"/>
  <c r="E17" i="1"/>
  <c r="F17" i="1" s="1"/>
  <c r="U18" i="1" s="1"/>
  <c r="E15" i="1"/>
  <c r="F15" i="1" s="1"/>
  <c r="U16" i="1" s="1"/>
  <c r="E14" i="1"/>
  <c r="F14" i="1" s="1"/>
  <c r="U15" i="1" s="1"/>
  <c r="E13" i="1"/>
  <c r="F13" i="1" s="1"/>
  <c r="U14" i="1" s="1"/>
  <c r="E12" i="1"/>
  <c r="F12" i="1" s="1"/>
  <c r="U13" i="1" s="1"/>
  <c r="E11" i="1"/>
  <c r="F11" i="1" s="1"/>
  <c r="U12" i="1" s="1"/>
  <c r="E10" i="1"/>
  <c r="F10" i="1" s="1"/>
  <c r="U11" i="1" s="1"/>
  <c r="E9" i="1"/>
  <c r="F9" i="1" s="1"/>
  <c r="U10" i="1" s="1"/>
  <c r="E8" i="1"/>
  <c r="F8" i="1" s="1"/>
  <c r="U9" i="1" s="1"/>
  <c r="E7" i="1"/>
  <c r="F7" i="1" s="1"/>
  <c r="U8" i="1" s="1"/>
  <c r="E6" i="1"/>
  <c r="F6" i="1" s="1"/>
  <c r="U7" i="1" s="1"/>
  <c r="E5" i="1"/>
  <c r="F5" i="1" s="1"/>
  <c r="U6" i="1" s="1"/>
  <c r="E4" i="1"/>
  <c r="F4" i="1" s="1"/>
  <c r="U5" i="1" s="1"/>
  <c r="E3" i="1"/>
  <c r="F3" i="1" s="1"/>
  <c r="U4" i="1" s="1"/>
  <c r="E2" i="1"/>
  <c r="F2" i="1" s="1"/>
  <c r="U3" i="1" s="1"/>
  <c r="O3" i="1" l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P3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R3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</calcChain>
</file>

<file path=xl/sharedStrings.xml><?xml version="1.0" encoding="utf-8"?>
<sst xmlns="http://schemas.openxmlformats.org/spreadsheetml/2006/main" count="24" uniqueCount="13">
  <si>
    <t>Ядра</t>
  </si>
  <si>
    <t>Потоки</t>
  </si>
  <si>
    <t>Радиус</t>
  </si>
  <si>
    <t>Медиана, мс</t>
  </si>
  <si>
    <t>S(n)</t>
  </si>
  <si>
    <t>E(n) = S(n) / N</t>
  </si>
  <si>
    <t>1 ядро</t>
  </si>
  <si>
    <t>2 ядра</t>
  </si>
  <si>
    <t>3 ядра</t>
  </si>
  <si>
    <t>4 ядра</t>
  </si>
  <si>
    <t>Таблица S(n) — ускорение</t>
  </si>
  <si>
    <t>Таблица T(n) — время обработки</t>
  </si>
  <si>
    <t>Таблица E(n) — эффективность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</si>
</sst>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7">
    <xf numFmtId="0" fontId="0" fillId="0" borderId="0" xfId="0"/>
    <xf numFmtId="1" fontId="0" fillId="0" borderId="18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19" xfId="1" applyNumberFormat="1" applyFont="1" applyBorder="1" applyAlignment="1">
      <alignment horizontal="center" vertical="center"/>
    </xf>
    <xf numFmtId="2" fontId="0" fillId="0" borderId="19" xfId="0" applyNumberFormat="1" applyFill="1" applyBorder="1" applyAlignment="1">
      <alignment horizontal="center" vertical="center"/>
    </xf>
    <xf numFmtId="2" fontId="0" fillId="0" borderId="20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1" xfId="1" applyNumberFormat="1" applyFon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2" fontId="0" fillId="0" borderId="14" xfId="0" applyNumberFormat="1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0" xfId="1" applyNumberFormat="1" applyFon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" fontId="0" fillId="0" borderId="16" xfId="1" applyNumberFormat="1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</cellXfs>
  <cellStyles count="43">
    <cellStyle name="20% — акцент1" xfId="20" builtinId="30" customBuiltin="1"/>
    <cellStyle name="20% — акцент2" xfId="24" builtinId="34" customBuiltin="1"/>
    <cellStyle name="20% — акцент3" xfId="28" builtinId="38" customBuiltin="1"/>
    <cellStyle name="20% — акцент4" xfId="32" builtinId="42" customBuiltin="1"/>
    <cellStyle name="20% — акцент5" xfId="36" builtinId="46" customBuiltin="1"/>
    <cellStyle name="20% — акцент6" xfId="40" builtinId="50" customBuiltin="1"/>
    <cellStyle name="40% — акцент1" xfId="21" builtinId="31" customBuiltin="1"/>
    <cellStyle name="40% — акцент2" xfId="25" builtinId="35" customBuiltin="1"/>
    <cellStyle name="40% — акцент3" xfId="29" builtinId="39" customBuiltin="1"/>
    <cellStyle name="40% — акцент4" xfId="33" builtinId="43" customBuiltin="1"/>
    <cellStyle name="40% — акцент5" xfId="37" builtinId="47" customBuiltin="1"/>
    <cellStyle name="40% — акцент6" xfId="41" builtinId="51" customBuiltin="1"/>
    <cellStyle name="60% — акцент1" xfId="22" builtinId="32" customBuiltin="1"/>
    <cellStyle name="60% — акцент2" xfId="26" builtinId="36" customBuiltin="1"/>
    <cellStyle name="60% — акцент3" xfId="30" builtinId="40" customBuiltin="1"/>
    <cellStyle name="60% — акцент4" xfId="34" builtinId="44" customBuiltin="1"/>
    <cellStyle name="60% — акцент5" xfId="38" builtinId="48" customBuiltin="1"/>
    <cellStyle name="60% — акцент6" xfId="42" builtinId="52" customBuiltin="1"/>
    <cellStyle name="Акцент1" xfId="19" builtinId="29" customBuiltin="1"/>
    <cellStyle name="Акцент2" xfId="23" builtinId="33" customBuiltin="1"/>
    <cellStyle name="Акцент3" xfId="27" builtinId="37" customBuiltin="1"/>
    <cellStyle name="Акцент4" xfId="31" builtinId="41" customBuiltin="1"/>
    <cellStyle name="Акцент5" xfId="35" builtinId="45" customBuiltin="1"/>
    <cellStyle name="Акцент6" xfId="39" builtinId="49" customBuiltin="1"/>
    <cellStyle name="Ввод " xfId="10" builtinId="20" customBuiltin="1"/>
    <cellStyle name="Вывод" xfId="11" builtinId="21" customBuiltin="1"/>
    <cellStyle name="Вычисление" xfId="12" builtinId="22" customBuiltin="1"/>
    <cellStyle name="Заголовок 1" xfId="3" builtinId="16" customBuiltin="1"/>
    <cellStyle name="Заголовок 2" xfId="4" builtinId="17" customBuiltin="1"/>
    <cellStyle name="Заголовок 3" xfId="5" builtinId="18" customBuiltin="1"/>
    <cellStyle name="Заголовок 4" xfId="6" builtinId="19" customBuiltin="1"/>
    <cellStyle name="Итог" xfId="18" builtinId="25" customBuiltin="1"/>
    <cellStyle name="Контрольная ячейка" xfId="14" builtinId="23" customBuiltin="1"/>
    <cellStyle name="Название" xfId="2" builtinId="15" customBuiltin="1"/>
    <cellStyle name="Нейтральный" xfId="9" builtinId="28" customBuiltin="1"/>
    <cellStyle name="Обычный" xfId="0" builtinId="0"/>
    <cellStyle name="Плохой" xfId="8" builtinId="27" customBuiltin="1"/>
    <cellStyle name="Пояснение" xfId="17" builtinId="53" customBuiltin="1"/>
    <cellStyle name="Примечание" xfId="16" builtinId="10" customBuiltin="1"/>
    <cellStyle name="Связанная ячейка" xfId="13" builtinId="24" customBuiltin="1"/>
    <cellStyle name="Текст предупреждения" xfId="15" builtinId="11" customBuiltin="1"/>
    <cellStyle name="Финансовый" xfId="1" builtinId="3"/>
    <cellStyle name="Хороший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График </a:t>
            </a:r>
            <a:r>
              <a:rPr lang="en-US" sz="1400" b="0" i="0" u="none" strike="noStrike" baseline="0">
                <a:effectLst/>
              </a:rPr>
              <a:t>T(n) — </a:t>
            </a:r>
            <a:r>
              <a:rPr lang="ru-RU" sz="1400" b="0" i="0" u="none" strike="noStrike" baseline="0">
                <a:effectLst/>
              </a:rPr>
              <a:t>время обработки</a:t>
            </a:r>
            <a:r>
              <a:rPr lang="ru-RU" sz="1400" b="0" i="0" u="none" strike="noStrike" baseline="0"/>
              <a:t> </a:t>
            </a:r>
            <a:endParaRPr lang="ru-RU"/>
          </a:p>
        </c:rich>
      </c:tx>
      <c:layout>
        <c:manualLayout>
          <c:xMode val="edge"/>
          <c:yMode val="edge"/>
          <c:x val="0.21361424108019664"/>
          <c:y val="4.67479787020626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medians!$I$2</c:f>
              <c:strCache>
                <c:ptCount val="1"/>
                <c:pt idx="0">
                  <c:v>1 ядро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medians!$I$3:$I$18</c:f>
              <c:numCache>
                <c:formatCode>0</c:formatCode>
                <c:ptCount val="16"/>
                <c:pt idx="0">
                  <c:v>1270</c:v>
                </c:pt>
                <c:pt idx="1">
                  <c:v>1573</c:v>
                </c:pt>
                <c:pt idx="2">
                  <c:v>1360</c:v>
                </c:pt>
                <c:pt idx="3">
                  <c:v>1311</c:v>
                </c:pt>
                <c:pt idx="4">
                  <c:v>1303</c:v>
                </c:pt>
                <c:pt idx="5">
                  <c:v>1306</c:v>
                </c:pt>
                <c:pt idx="6">
                  <c:v>1303</c:v>
                </c:pt>
                <c:pt idx="7">
                  <c:v>1291</c:v>
                </c:pt>
                <c:pt idx="8">
                  <c:v>1295</c:v>
                </c:pt>
                <c:pt idx="9">
                  <c:v>1312</c:v>
                </c:pt>
                <c:pt idx="10">
                  <c:v>1297</c:v>
                </c:pt>
                <c:pt idx="11">
                  <c:v>1318</c:v>
                </c:pt>
                <c:pt idx="12">
                  <c:v>1311</c:v>
                </c:pt>
                <c:pt idx="13">
                  <c:v>1302</c:v>
                </c:pt>
                <c:pt idx="14">
                  <c:v>1335</c:v>
                </c:pt>
                <c:pt idx="15">
                  <c:v>1302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medians!$J$2</c:f>
              <c:strCache>
                <c:ptCount val="1"/>
                <c:pt idx="0">
                  <c:v>2 ядра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medians!$J$3:$J$18</c:f>
              <c:numCache>
                <c:formatCode>0</c:formatCode>
                <c:ptCount val="16"/>
                <c:pt idx="0">
                  <c:v>1305</c:v>
                </c:pt>
                <c:pt idx="1">
                  <c:v>1234</c:v>
                </c:pt>
                <c:pt idx="2">
                  <c:v>1238</c:v>
                </c:pt>
                <c:pt idx="3">
                  <c:v>1240</c:v>
                </c:pt>
                <c:pt idx="4">
                  <c:v>1229</c:v>
                </c:pt>
                <c:pt idx="5">
                  <c:v>1230</c:v>
                </c:pt>
                <c:pt idx="6">
                  <c:v>1277</c:v>
                </c:pt>
                <c:pt idx="7">
                  <c:v>1235</c:v>
                </c:pt>
                <c:pt idx="8">
                  <c:v>1234</c:v>
                </c:pt>
                <c:pt idx="9">
                  <c:v>1238</c:v>
                </c:pt>
                <c:pt idx="10">
                  <c:v>1244</c:v>
                </c:pt>
                <c:pt idx="11">
                  <c:v>1236</c:v>
                </c:pt>
                <c:pt idx="12">
                  <c:v>1228</c:v>
                </c:pt>
                <c:pt idx="13">
                  <c:v>1226</c:v>
                </c:pt>
                <c:pt idx="14">
                  <c:v>1233</c:v>
                </c:pt>
                <c:pt idx="15">
                  <c:v>1232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medians!$K$2</c:f>
              <c:strCache>
                <c:ptCount val="1"/>
                <c:pt idx="0">
                  <c:v>3 ядра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medians!$K$3:$K$18</c:f>
              <c:numCache>
                <c:formatCode>0</c:formatCode>
                <c:ptCount val="16"/>
                <c:pt idx="0">
                  <c:v>1222</c:v>
                </c:pt>
                <c:pt idx="1">
                  <c:v>741</c:v>
                </c:pt>
                <c:pt idx="2">
                  <c:v>700</c:v>
                </c:pt>
                <c:pt idx="3">
                  <c:v>716</c:v>
                </c:pt>
                <c:pt idx="4">
                  <c:v>702</c:v>
                </c:pt>
                <c:pt idx="5">
                  <c:v>703</c:v>
                </c:pt>
                <c:pt idx="6">
                  <c:v>716</c:v>
                </c:pt>
                <c:pt idx="7">
                  <c:v>717</c:v>
                </c:pt>
                <c:pt idx="8">
                  <c:v>704</c:v>
                </c:pt>
                <c:pt idx="9">
                  <c:v>724</c:v>
                </c:pt>
                <c:pt idx="10">
                  <c:v>729</c:v>
                </c:pt>
                <c:pt idx="11">
                  <c:v>711</c:v>
                </c:pt>
                <c:pt idx="12">
                  <c:v>712</c:v>
                </c:pt>
                <c:pt idx="13">
                  <c:v>733</c:v>
                </c:pt>
                <c:pt idx="14">
                  <c:v>723</c:v>
                </c:pt>
                <c:pt idx="15">
                  <c:v>721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medians!$L$2</c:f>
              <c:strCache>
                <c:ptCount val="1"/>
                <c:pt idx="0">
                  <c:v>4 ядра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medians!$L$3:$L$18</c:f>
              <c:numCache>
                <c:formatCode>0</c:formatCode>
                <c:ptCount val="16"/>
                <c:pt idx="0">
                  <c:v>1289</c:v>
                </c:pt>
                <c:pt idx="1">
                  <c:v>864</c:v>
                </c:pt>
                <c:pt idx="2">
                  <c:v>725</c:v>
                </c:pt>
                <c:pt idx="3">
                  <c:v>694</c:v>
                </c:pt>
                <c:pt idx="4">
                  <c:v>730</c:v>
                </c:pt>
                <c:pt idx="5">
                  <c:v>707</c:v>
                </c:pt>
                <c:pt idx="6">
                  <c:v>700</c:v>
                </c:pt>
                <c:pt idx="7">
                  <c:v>700</c:v>
                </c:pt>
                <c:pt idx="8">
                  <c:v>700</c:v>
                </c:pt>
                <c:pt idx="9">
                  <c:v>702</c:v>
                </c:pt>
                <c:pt idx="10">
                  <c:v>689</c:v>
                </c:pt>
                <c:pt idx="11">
                  <c:v>701</c:v>
                </c:pt>
                <c:pt idx="12">
                  <c:v>696</c:v>
                </c:pt>
                <c:pt idx="13">
                  <c:v>705</c:v>
                </c:pt>
                <c:pt idx="14">
                  <c:v>710</c:v>
                </c:pt>
                <c:pt idx="15">
                  <c:v>703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0156512"/>
        <c:axId val="307891520"/>
      </c:lineChart>
      <c:catAx>
        <c:axId val="310156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7891520"/>
        <c:crosses val="autoZero"/>
        <c:auto val="1"/>
        <c:lblAlgn val="ctr"/>
        <c:lblOffset val="100"/>
        <c:noMultiLvlLbl val="0"/>
      </c:catAx>
      <c:valAx>
        <c:axId val="307891520"/>
        <c:scaling>
          <c:orientation val="minMax"/>
          <c:max val="1600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0156512"/>
        <c:crosses val="autoZero"/>
        <c:crossBetween val="between"/>
      </c:valAx>
      <c:spPr>
        <a:noFill/>
        <a:ln>
          <a:solidFill>
            <a:schemeClr val="accent1"/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График </a:t>
            </a:r>
            <a:r>
              <a:rPr lang="en-US" sz="1400" b="0" i="0" u="none" strike="noStrike" baseline="0">
                <a:effectLst/>
              </a:rPr>
              <a:t>S(n) — </a:t>
            </a:r>
            <a:r>
              <a:rPr lang="ru-RU" sz="1400" b="0" i="0" u="none" strike="noStrike" baseline="0">
                <a:effectLst/>
              </a:rPr>
              <a:t>ускорение</a:t>
            </a:r>
            <a:r>
              <a:rPr lang="ru-RU" sz="1400" b="0" i="0" u="none" strike="noStrike" baseline="0"/>
              <a:t> 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medians!$O$2</c:f>
              <c:strCache>
                <c:ptCount val="1"/>
                <c:pt idx="0">
                  <c:v>1 ядро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medians!$O$3:$O$18</c:f>
              <c:numCache>
                <c:formatCode>0.00</c:formatCode>
                <c:ptCount val="16"/>
                <c:pt idx="0">
                  <c:v>1</c:v>
                </c:pt>
                <c:pt idx="1">
                  <c:v>0.80737444373808009</c:v>
                </c:pt>
                <c:pt idx="2">
                  <c:v>0.93382352941176472</c:v>
                </c:pt>
                <c:pt idx="3">
                  <c:v>0.96872616323417238</c:v>
                </c:pt>
                <c:pt idx="4">
                  <c:v>0.97467382962394478</c:v>
                </c:pt>
                <c:pt idx="5">
                  <c:v>0.97243491577335373</c:v>
                </c:pt>
                <c:pt idx="6">
                  <c:v>0.97467382962394478</c:v>
                </c:pt>
                <c:pt idx="7">
                  <c:v>0.98373353989155699</c:v>
                </c:pt>
                <c:pt idx="8">
                  <c:v>0.98069498069498073</c:v>
                </c:pt>
                <c:pt idx="9">
                  <c:v>0.96798780487804881</c:v>
                </c:pt>
                <c:pt idx="10">
                  <c:v>0.9791827293754819</c:v>
                </c:pt>
                <c:pt idx="11">
                  <c:v>0.96358118361153267</c:v>
                </c:pt>
                <c:pt idx="12">
                  <c:v>0.96872616323417238</c:v>
                </c:pt>
                <c:pt idx="13">
                  <c:v>0.97542242703533022</c:v>
                </c:pt>
                <c:pt idx="14">
                  <c:v>0.95131086142322097</c:v>
                </c:pt>
                <c:pt idx="15">
                  <c:v>0.97542242703533022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medians!$P$2</c:f>
              <c:strCache>
                <c:ptCount val="1"/>
                <c:pt idx="0">
                  <c:v>2 ядра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medians!$P$3:$P$18</c:f>
              <c:numCache>
                <c:formatCode>0.00</c:formatCode>
                <c:ptCount val="16"/>
                <c:pt idx="0">
                  <c:v>1</c:v>
                </c:pt>
                <c:pt idx="1">
                  <c:v>1.0575364667747165</c:v>
                </c:pt>
                <c:pt idx="2">
                  <c:v>1.054119547657512</c:v>
                </c:pt>
                <c:pt idx="3">
                  <c:v>1.0524193548387097</c:v>
                </c:pt>
                <c:pt idx="4">
                  <c:v>1.0618388934092757</c:v>
                </c:pt>
                <c:pt idx="5">
                  <c:v>1.0609756097560976</c:v>
                </c:pt>
                <c:pt idx="6">
                  <c:v>1.0219263899765074</c:v>
                </c:pt>
                <c:pt idx="7">
                  <c:v>1.0566801619433199</c:v>
                </c:pt>
                <c:pt idx="8">
                  <c:v>1.0575364667747165</c:v>
                </c:pt>
                <c:pt idx="9">
                  <c:v>1.054119547657512</c:v>
                </c:pt>
                <c:pt idx="10">
                  <c:v>1.0490353697749195</c:v>
                </c:pt>
                <c:pt idx="11">
                  <c:v>1.0558252427184467</c:v>
                </c:pt>
                <c:pt idx="12">
                  <c:v>1.0627035830618892</c:v>
                </c:pt>
                <c:pt idx="13">
                  <c:v>1.064437194127243</c:v>
                </c:pt>
                <c:pt idx="14">
                  <c:v>1.0583941605839415</c:v>
                </c:pt>
                <c:pt idx="15">
                  <c:v>1.0592532467532467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medians!$Q$2</c:f>
              <c:strCache>
                <c:ptCount val="1"/>
                <c:pt idx="0">
                  <c:v>3 ядра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medians!$Q$3:$Q$18</c:f>
              <c:numCache>
                <c:formatCode>0.00</c:formatCode>
                <c:ptCount val="16"/>
                <c:pt idx="0">
                  <c:v>1</c:v>
                </c:pt>
                <c:pt idx="1">
                  <c:v>1.6491228070175439</c:v>
                </c:pt>
                <c:pt idx="2">
                  <c:v>1.7457142857142858</c:v>
                </c:pt>
                <c:pt idx="3">
                  <c:v>1.7067039106145252</c:v>
                </c:pt>
                <c:pt idx="4">
                  <c:v>1.7407407407407407</c:v>
                </c:pt>
                <c:pt idx="5">
                  <c:v>1.7382645803698435</c:v>
                </c:pt>
                <c:pt idx="6">
                  <c:v>1.7067039106145252</c:v>
                </c:pt>
                <c:pt idx="7">
                  <c:v>1.7043235704323569</c:v>
                </c:pt>
                <c:pt idx="8">
                  <c:v>1.7357954545454546</c:v>
                </c:pt>
                <c:pt idx="9">
                  <c:v>1.6878453038674033</c:v>
                </c:pt>
                <c:pt idx="10">
                  <c:v>1.6762688614540466</c:v>
                </c:pt>
                <c:pt idx="11">
                  <c:v>1.7187060478199718</c:v>
                </c:pt>
                <c:pt idx="12">
                  <c:v>1.7162921348314606</c:v>
                </c:pt>
                <c:pt idx="13">
                  <c:v>1.6671214188267394</c:v>
                </c:pt>
                <c:pt idx="14">
                  <c:v>1.690179806362379</c:v>
                </c:pt>
                <c:pt idx="15">
                  <c:v>1.6948682385575589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medians!$R$2</c:f>
              <c:strCache>
                <c:ptCount val="1"/>
                <c:pt idx="0">
                  <c:v>4 ядра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medians!$R$3:$R$18</c:f>
              <c:numCache>
                <c:formatCode>0.00</c:formatCode>
                <c:ptCount val="16"/>
                <c:pt idx="0">
                  <c:v>1</c:v>
                </c:pt>
                <c:pt idx="1">
                  <c:v>1.4918981481481481</c:v>
                </c:pt>
                <c:pt idx="2">
                  <c:v>1.7779310344827586</c:v>
                </c:pt>
                <c:pt idx="3">
                  <c:v>1.8573487031700289</c:v>
                </c:pt>
                <c:pt idx="4">
                  <c:v>1.7657534246575342</c:v>
                </c:pt>
                <c:pt idx="5">
                  <c:v>1.8231966053748232</c:v>
                </c:pt>
                <c:pt idx="6">
                  <c:v>1.8414285714285714</c:v>
                </c:pt>
                <c:pt idx="7">
                  <c:v>1.8414285714285714</c:v>
                </c:pt>
                <c:pt idx="8">
                  <c:v>1.8414285714285714</c:v>
                </c:pt>
                <c:pt idx="9">
                  <c:v>1.8361823361823362</c:v>
                </c:pt>
                <c:pt idx="10">
                  <c:v>1.8708272859216255</c:v>
                </c:pt>
                <c:pt idx="11">
                  <c:v>1.8388017118402282</c:v>
                </c:pt>
                <c:pt idx="12">
                  <c:v>1.8520114942528736</c:v>
                </c:pt>
                <c:pt idx="13">
                  <c:v>1.8283687943262412</c:v>
                </c:pt>
                <c:pt idx="14">
                  <c:v>1.8154929577464789</c:v>
                </c:pt>
                <c:pt idx="15">
                  <c:v>1.833570412517781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7633152"/>
        <c:axId val="311126568"/>
      </c:lineChart>
      <c:catAx>
        <c:axId val="307633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1126568"/>
        <c:crosses val="autoZero"/>
        <c:auto val="1"/>
        <c:lblAlgn val="ctr"/>
        <c:lblOffset val="100"/>
        <c:noMultiLvlLbl val="0"/>
      </c:catAx>
      <c:valAx>
        <c:axId val="311126568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763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График </a:t>
            </a:r>
            <a:r>
              <a:rPr lang="en-US" sz="1400" b="0" i="0" u="none" strike="noStrike" baseline="0">
                <a:effectLst/>
              </a:rPr>
              <a:t>E(n) — </a:t>
            </a:r>
            <a:r>
              <a:rPr lang="ru-RU" sz="1400" b="0" i="0" u="none" strike="noStrike" baseline="0">
                <a:effectLst/>
              </a:rPr>
              <a:t>эффективность</a:t>
            </a:r>
            <a:r>
              <a:rPr lang="ru-RU" sz="1400" b="0" i="0" u="none" strike="noStrike" baseline="0"/>
              <a:t> 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medians!$U$2</c:f>
              <c:strCache>
                <c:ptCount val="1"/>
                <c:pt idx="0">
                  <c:v>1 ядро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medians!$U$3:$U$18</c:f>
              <c:numCache>
                <c:formatCode>0.00</c:formatCode>
                <c:ptCount val="16"/>
                <c:pt idx="0">
                  <c:v>1</c:v>
                </c:pt>
                <c:pt idx="1">
                  <c:v>0.40368722186904005</c:v>
                </c:pt>
                <c:pt idx="2">
                  <c:v>0.31127450980392157</c:v>
                </c:pt>
                <c:pt idx="3">
                  <c:v>0.24218154080854309</c:v>
                </c:pt>
                <c:pt idx="4">
                  <c:v>0.19493476592478895</c:v>
                </c:pt>
                <c:pt idx="5">
                  <c:v>0.16207248596222562</c:v>
                </c:pt>
                <c:pt idx="6">
                  <c:v>0.1392391185177064</c:v>
                </c:pt>
                <c:pt idx="7">
                  <c:v>0.12296669248644462</c:v>
                </c:pt>
                <c:pt idx="8">
                  <c:v>0.10896610896610898</c:v>
                </c:pt>
                <c:pt idx="9">
                  <c:v>9.6798780487804881E-2</c:v>
                </c:pt>
                <c:pt idx="10">
                  <c:v>8.9016611761407446E-2</c:v>
                </c:pt>
                <c:pt idx="11">
                  <c:v>8.0298431967627718E-2</c:v>
                </c:pt>
                <c:pt idx="12">
                  <c:v>7.4517397171859415E-2</c:v>
                </c:pt>
                <c:pt idx="13">
                  <c:v>6.9673030502523589E-2</c:v>
                </c:pt>
                <c:pt idx="14">
                  <c:v>6.3420724094881392E-2</c:v>
                </c:pt>
                <c:pt idx="15">
                  <c:v>6.0963901689708139E-2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medians!$V$2</c:f>
              <c:strCache>
                <c:ptCount val="1"/>
                <c:pt idx="0">
                  <c:v>2 ядра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medians!$V$3:$V$18</c:f>
              <c:numCache>
                <c:formatCode>0.00</c:formatCode>
                <c:ptCount val="16"/>
                <c:pt idx="0">
                  <c:v>1</c:v>
                </c:pt>
                <c:pt idx="1">
                  <c:v>0.52876823338735823</c:v>
                </c:pt>
                <c:pt idx="2">
                  <c:v>0.35137318255250399</c:v>
                </c:pt>
                <c:pt idx="3">
                  <c:v>0.26310483870967744</c:v>
                </c:pt>
                <c:pt idx="4">
                  <c:v>0.21236777868185513</c:v>
                </c:pt>
                <c:pt idx="5">
                  <c:v>0.17682926829268295</c:v>
                </c:pt>
                <c:pt idx="6">
                  <c:v>0.1459894842823582</c:v>
                </c:pt>
                <c:pt idx="7">
                  <c:v>0.13208502024291499</c:v>
                </c:pt>
                <c:pt idx="8">
                  <c:v>0.11750405186385739</c:v>
                </c:pt>
                <c:pt idx="9">
                  <c:v>0.1054119547657512</c:v>
                </c:pt>
                <c:pt idx="10">
                  <c:v>9.5366851797719962E-2</c:v>
                </c:pt>
                <c:pt idx="11">
                  <c:v>8.7985436893203886E-2</c:v>
                </c:pt>
                <c:pt idx="12">
                  <c:v>8.1746429466299161E-2</c:v>
                </c:pt>
                <c:pt idx="13">
                  <c:v>7.6031228151945934E-2</c:v>
                </c:pt>
                <c:pt idx="14">
                  <c:v>7.0559610705596104E-2</c:v>
                </c:pt>
                <c:pt idx="15">
                  <c:v>6.620332792207792E-2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medians!$W$2</c:f>
              <c:strCache>
                <c:ptCount val="1"/>
                <c:pt idx="0">
                  <c:v>3 ядра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medians!$W$3:$W$18</c:f>
              <c:numCache>
                <c:formatCode>0.00</c:formatCode>
                <c:ptCount val="16"/>
                <c:pt idx="0">
                  <c:v>1</c:v>
                </c:pt>
                <c:pt idx="1">
                  <c:v>0.82456140350877194</c:v>
                </c:pt>
                <c:pt idx="2">
                  <c:v>0.58190476190476192</c:v>
                </c:pt>
                <c:pt idx="3">
                  <c:v>0.4266759776536313</c:v>
                </c:pt>
                <c:pt idx="4">
                  <c:v>0.34814814814814815</c:v>
                </c:pt>
                <c:pt idx="5">
                  <c:v>0.28971076339497392</c:v>
                </c:pt>
                <c:pt idx="6">
                  <c:v>0.24381484437350359</c:v>
                </c:pt>
                <c:pt idx="7">
                  <c:v>0.21304044630404462</c:v>
                </c:pt>
                <c:pt idx="8">
                  <c:v>0.19286616161616163</c:v>
                </c:pt>
                <c:pt idx="9">
                  <c:v>0.16878453038674032</c:v>
                </c:pt>
                <c:pt idx="10">
                  <c:v>0.15238807831400425</c:v>
                </c:pt>
                <c:pt idx="11">
                  <c:v>0.14322550398499764</c:v>
                </c:pt>
                <c:pt idx="12">
                  <c:v>0.13202247191011235</c:v>
                </c:pt>
                <c:pt idx="13">
                  <c:v>0.1190801013447671</c:v>
                </c:pt>
                <c:pt idx="14">
                  <c:v>0.11267865375749193</c:v>
                </c:pt>
                <c:pt idx="15">
                  <c:v>0.10592926490984743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medians!$X$2</c:f>
              <c:strCache>
                <c:ptCount val="1"/>
                <c:pt idx="0">
                  <c:v>4 ядра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medians!$X$3:$X$18</c:f>
              <c:numCache>
                <c:formatCode>0.00</c:formatCode>
                <c:ptCount val="16"/>
                <c:pt idx="0">
                  <c:v>1</c:v>
                </c:pt>
                <c:pt idx="1">
                  <c:v>0.74594907407407407</c:v>
                </c:pt>
                <c:pt idx="2">
                  <c:v>0.59264367816091956</c:v>
                </c:pt>
                <c:pt idx="3">
                  <c:v>0.46433717579250722</c:v>
                </c:pt>
                <c:pt idx="4">
                  <c:v>0.35315068493150681</c:v>
                </c:pt>
                <c:pt idx="5">
                  <c:v>0.30386610089580385</c:v>
                </c:pt>
                <c:pt idx="6">
                  <c:v>0.26306122448979591</c:v>
                </c:pt>
                <c:pt idx="7">
                  <c:v>0.23017857142857143</c:v>
                </c:pt>
                <c:pt idx="8">
                  <c:v>0.20460317460317459</c:v>
                </c:pt>
                <c:pt idx="9">
                  <c:v>0.18361823361823362</c:v>
                </c:pt>
                <c:pt idx="10">
                  <c:v>0.17007520781105687</c:v>
                </c:pt>
                <c:pt idx="11">
                  <c:v>0.15323347598668569</c:v>
                </c:pt>
                <c:pt idx="12">
                  <c:v>0.14246242263483644</c:v>
                </c:pt>
                <c:pt idx="13">
                  <c:v>0.13059777102330294</c:v>
                </c:pt>
                <c:pt idx="14">
                  <c:v>0.12103286384976526</c:v>
                </c:pt>
                <c:pt idx="15">
                  <c:v>0.11459815078236131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36576"/>
        <c:axId val="311236960"/>
      </c:lineChart>
      <c:catAx>
        <c:axId val="311236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1236960"/>
        <c:crosses val="autoZero"/>
        <c:auto val="1"/>
        <c:lblAlgn val="ctr"/>
        <c:lblOffset val="100"/>
        <c:noMultiLvlLbl val="0"/>
      </c:catAx>
      <c:valAx>
        <c:axId val="3112369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123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202726</xdr:colOff>
      <xdr:row>19</xdr:row>
      <xdr:rowOff>180009</xdr:rowOff>
    </xdr:from>
    <xdr:to>
      <xdr:col>14</xdr:col>
      <xdr:colOff>522987</xdr:colOff>
      <xdr:row>34</xdr:row>
      <xdr:rowOff>107122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179295</xdr:colOff>
      <xdr:row>19</xdr:row>
      <xdr:rowOff>146797</xdr:rowOff>
    </xdr:from>
    <xdr:to>
      <xdr:col>22</xdr:col>
      <xdr:colOff>515472</xdr:colOff>
      <xdr:row>35</xdr:row>
      <xdr:rowOff>10085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228600</xdr:colOff>
      <xdr:row>35</xdr:row>
      <xdr:rowOff>114300</xdr:rowOff>
    </xdr:from>
    <xdr:to>
      <xdr:col>14</xdr:col>
      <xdr:colOff>533400</xdr:colOff>
      <xdr:row>50</xdr:row>
      <xdr:rowOff>70757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5"/>
  <sheetViews>
    <sheetView tabSelected="1" topLeftCell="F7" zoomScale="80" zoomScaleNormal="160" workbookViewId="0">
      <selection activeCell="S47" sqref="S47"/>
    </sheetView>
  </sheetViews>
  <sheetFormatPr defaultRowHeight="14.4" x14ac:dyDescent="0.3"/>
  <cols>
    <col min="1" max="3" width="12.44140625" style="29" customWidth="1"/>
    <col min="4" max="4" width="12.44140625" style="30" customWidth="1"/>
    <col min="5" max="5" width="8.88671875" style="30"/>
    <col min="6" max="6" width="12.77734375" style="30" bestFit="1" customWidth="1"/>
    <col min="7" max="16384" width="8.88671875" style="6"/>
  </cols>
  <sheetData>
    <row r="1" spans="1:24" ht="15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H1" s="31" t="s">
        <v>11</v>
      </c>
      <c r="I1" s="32"/>
      <c r="J1" s="32"/>
      <c r="K1" s="32"/>
      <c r="L1" s="33"/>
      <c r="N1" s="34" t="s">
        <v>10</v>
      </c>
      <c r="O1" s="35"/>
      <c r="P1" s="35"/>
      <c r="Q1" s="35"/>
      <c r="R1" s="36"/>
      <c r="T1" s="34" t="s">
        <v>12</v>
      </c>
      <c r="U1" s="35"/>
      <c r="V1" s="35"/>
      <c r="W1" s="35"/>
      <c r="X1" s="36"/>
    </row>
    <row r="2" spans="1:24" x14ac:dyDescent="0.3">
      <c r="A2" s="7">
        <v>1</v>
      </c>
      <c r="B2" s="8">
        <v>1</v>
      </c>
      <c r="C2" s="8">
        <v>10</v>
      </c>
      <c r="D2" s="9">
        <v>1270</v>
      </c>
      <c r="E2" s="10">
        <f>$D$2/D2</f>
        <v>1</v>
      </c>
      <c r="F2" s="11">
        <f>E2/B2</f>
        <v>1</v>
      </c>
      <c r="H2" s="12" t="s">
        <v>1</v>
      </c>
      <c r="I2" s="13" t="s">
        <v>6</v>
      </c>
      <c r="J2" s="13" t="s">
        <v>7</v>
      </c>
      <c r="K2" s="13" t="s">
        <v>8</v>
      </c>
      <c r="L2" s="14" t="s">
        <v>9</v>
      </c>
      <c r="N2" s="12" t="s">
        <v>1</v>
      </c>
      <c r="O2" s="13" t="s">
        <v>6</v>
      </c>
      <c r="P2" s="13" t="s">
        <v>7</v>
      </c>
      <c r="Q2" s="13" t="s">
        <v>8</v>
      </c>
      <c r="R2" s="14" t="s">
        <v>9</v>
      </c>
      <c r="T2" s="12" t="s">
        <v>1</v>
      </c>
      <c r="U2" s="13" t="s">
        <v>6</v>
      </c>
      <c r="V2" s="13" t="s">
        <v>7</v>
      </c>
      <c r="W2" s="13" t="s">
        <v>8</v>
      </c>
      <c r="X2" s="14" t="s">
        <v>9</v>
      </c>
    </row>
    <row r="3" spans="1:24" x14ac:dyDescent="0.3">
      <c r="A3" s="15">
        <v>1</v>
      </c>
      <c r="B3" s="16">
        <v>2</v>
      </c>
      <c r="C3" s="16">
        <v>10</v>
      </c>
      <c r="D3" s="17">
        <v>1573</v>
      </c>
      <c r="E3" s="18">
        <f t="shared" ref="E3:E17" si="0">$D$2/D3</f>
        <v>0.80737444373808009</v>
      </c>
      <c r="F3" s="19">
        <f t="shared" ref="F3:F65" si="1">E3/B3</f>
        <v>0.40368722186904005</v>
      </c>
      <c r="H3" s="20">
        <v>1</v>
      </c>
      <c r="I3" s="16">
        <f t="shared" ref="I3:I18" si="2">D2</f>
        <v>1270</v>
      </c>
      <c r="J3" s="16">
        <f t="shared" ref="J3:J18" si="3">D18</f>
        <v>1305</v>
      </c>
      <c r="K3" s="16">
        <f t="shared" ref="K3:K18" si="4">D34</f>
        <v>1222</v>
      </c>
      <c r="L3" s="21">
        <f t="shared" ref="L3:L18" si="5">D50</f>
        <v>1289</v>
      </c>
      <c r="N3" s="15">
        <v>1</v>
      </c>
      <c r="O3" s="18">
        <f>E2</f>
        <v>1</v>
      </c>
      <c r="P3" s="18">
        <f>E18</f>
        <v>1</v>
      </c>
      <c r="Q3" s="18">
        <f>E34</f>
        <v>1</v>
      </c>
      <c r="R3" s="19">
        <f>E50</f>
        <v>1</v>
      </c>
      <c r="T3" s="15">
        <v>1</v>
      </c>
      <c r="U3" s="18">
        <f>F2</f>
        <v>1</v>
      </c>
      <c r="V3" s="18">
        <f>F18</f>
        <v>1</v>
      </c>
      <c r="W3" s="18">
        <f>F34</f>
        <v>1</v>
      </c>
      <c r="X3" s="19">
        <f>F50</f>
        <v>1</v>
      </c>
    </row>
    <row r="4" spans="1:24" x14ac:dyDescent="0.3">
      <c r="A4" s="15">
        <v>1</v>
      </c>
      <c r="B4" s="16">
        <v>3</v>
      </c>
      <c r="C4" s="16">
        <v>10</v>
      </c>
      <c r="D4" s="17">
        <v>1360</v>
      </c>
      <c r="E4" s="18">
        <f t="shared" si="0"/>
        <v>0.93382352941176472</v>
      </c>
      <c r="F4" s="19">
        <f t="shared" si="1"/>
        <v>0.31127450980392157</v>
      </c>
      <c r="H4" s="20">
        <v>2</v>
      </c>
      <c r="I4" s="16">
        <f t="shared" si="2"/>
        <v>1573</v>
      </c>
      <c r="J4" s="16">
        <f t="shared" si="3"/>
        <v>1234</v>
      </c>
      <c r="K4" s="16">
        <f t="shared" si="4"/>
        <v>741</v>
      </c>
      <c r="L4" s="21">
        <f t="shared" si="5"/>
        <v>864</v>
      </c>
      <c r="N4" s="15">
        <v>2</v>
      </c>
      <c r="O4" s="18">
        <f t="shared" ref="O4:O18" si="6">E3</f>
        <v>0.80737444373808009</v>
      </c>
      <c r="P4" s="18">
        <f t="shared" ref="P4:P18" si="7">E19</f>
        <v>1.0575364667747165</v>
      </c>
      <c r="Q4" s="18">
        <f t="shared" ref="Q4:Q18" si="8">E35</f>
        <v>1.6491228070175439</v>
      </c>
      <c r="R4" s="19">
        <f t="shared" ref="R4:R18" si="9">E51</f>
        <v>1.4918981481481481</v>
      </c>
      <c r="T4" s="15">
        <v>2</v>
      </c>
      <c r="U4" s="18">
        <f t="shared" ref="U4:U18" si="10">F3</f>
        <v>0.40368722186904005</v>
      </c>
      <c r="V4" s="18">
        <f t="shared" ref="V4:V18" si="11">F19</f>
        <v>0.52876823338735823</v>
      </c>
      <c r="W4" s="18">
        <f t="shared" ref="W4:W18" si="12">F35</f>
        <v>0.82456140350877194</v>
      </c>
      <c r="X4" s="19">
        <f t="shared" ref="X4:X18" si="13">F51</f>
        <v>0.74594907407407407</v>
      </c>
    </row>
    <row r="5" spans="1:24" x14ac:dyDescent="0.3">
      <c r="A5" s="15">
        <v>1</v>
      </c>
      <c r="B5" s="16">
        <v>4</v>
      </c>
      <c r="C5" s="16">
        <v>10</v>
      </c>
      <c r="D5" s="17">
        <v>1311</v>
      </c>
      <c r="E5" s="18">
        <f t="shared" si="0"/>
        <v>0.96872616323417238</v>
      </c>
      <c r="F5" s="19">
        <f t="shared" si="1"/>
        <v>0.24218154080854309</v>
      </c>
      <c r="H5" s="20">
        <v>3</v>
      </c>
      <c r="I5" s="16">
        <f t="shared" si="2"/>
        <v>1360</v>
      </c>
      <c r="J5" s="16">
        <f t="shared" si="3"/>
        <v>1238</v>
      </c>
      <c r="K5" s="16">
        <f t="shared" si="4"/>
        <v>700</v>
      </c>
      <c r="L5" s="21">
        <f t="shared" si="5"/>
        <v>725</v>
      </c>
      <c r="N5" s="15">
        <v>3</v>
      </c>
      <c r="O5" s="18">
        <f t="shared" si="6"/>
        <v>0.93382352941176472</v>
      </c>
      <c r="P5" s="18">
        <f t="shared" si="7"/>
        <v>1.054119547657512</v>
      </c>
      <c r="Q5" s="18">
        <f t="shared" si="8"/>
        <v>1.7457142857142858</v>
      </c>
      <c r="R5" s="19">
        <f t="shared" si="9"/>
        <v>1.7779310344827586</v>
      </c>
      <c r="T5" s="15">
        <v>3</v>
      </c>
      <c r="U5" s="18">
        <f t="shared" si="10"/>
        <v>0.31127450980392157</v>
      </c>
      <c r="V5" s="18">
        <f t="shared" si="11"/>
        <v>0.35137318255250399</v>
      </c>
      <c r="W5" s="18">
        <f t="shared" si="12"/>
        <v>0.58190476190476192</v>
      </c>
      <c r="X5" s="19">
        <f t="shared" si="13"/>
        <v>0.59264367816091956</v>
      </c>
    </row>
    <row r="6" spans="1:24" x14ac:dyDescent="0.3">
      <c r="A6" s="15">
        <v>1</v>
      </c>
      <c r="B6" s="16">
        <v>5</v>
      </c>
      <c r="C6" s="16">
        <v>10</v>
      </c>
      <c r="D6" s="17">
        <v>1303</v>
      </c>
      <c r="E6" s="18">
        <f t="shared" si="0"/>
        <v>0.97467382962394478</v>
      </c>
      <c r="F6" s="19">
        <f t="shared" si="1"/>
        <v>0.19493476592478895</v>
      </c>
      <c r="H6" s="20">
        <v>4</v>
      </c>
      <c r="I6" s="16">
        <f t="shared" si="2"/>
        <v>1311</v>
      </c>
      <c r="J6" s="16">
        <f t="shared" si="3"/>
        <v>1240</v>
      </c>
      <c r="K6" s="16">
        <f t="shared" si="4"/>
        <v>716</v>
      </c>
      <c r="L6" s="21">
        <f t="shared" si="5"/>
        <v>694</v>
      </c>
      <c r="N6" s="15">
        <v>4</v>
      </c>
      <c r="O6" s="18">
        <f t="shared" si="6"/>
        <v>0.96872616323417238</v>
      </c>
      <c r="P6" s="18">
        <f t="shared" si="7"/>
        <v>1.0524193548387097</v>
      </c>
      <c r="Q6" s="18">
        <f t="shared" si="8"/>
        <v>1.7067039106145252</v>
      </c>
      <c r="R6" s="19">
        <f t="shared" si="9"/>
        <v>1.8573487031700289</v>
      </c>
      <c r="T6" s="15">
        <v>4</v>
      </c>
      <c r="U6" s="18">
        <f t="shared" si="10"/>
        <v>0.24218154080854309</v>
      </c>
      <c r="V6" s="18">
        <f t="shared" si="11"/>
        <v>0.26310483870967744</v>
      </c>
      <c r="W6" s="18">
        <f t="shared" si="12"/>
        <v>0.4266759776536313</v>
      </c>
      <c r="X6" s="19">
        <f t="shared" si="13"/>
        <v>0.46433717579250722</v>
      </c>
    </row>
    <row r="7" spans="1:24" x14ac:dyDescent="0.3">
      <c r="A7" s="15">
        <v>1</v>
      </c>
      <c r="B7" s="16">
        <v>6</v>
      </c>
      <c r="C7" s="16">
        <v>10</v>
      </c>
      <c r="D7" s="17">
        <v>1306</v>
      </c>
      <c r="E7" s="18">
        <f t="shared" si="0"/>
        <v>0.97243491577335373</v>
      </c>
      <c r="F7" s="19">
        <f t="shared" si="1"/>
        <v>0.16207248596222562</v>
      </c>
      <c r="H7" s="20">
        <v>5</v>
      </c>
      <c r="I7" s="16">
        <f t="shared" si="2"/>
        <v>1303</v>
      </c>
      <c r="J7" s="16">
        <f t="shared" si="3"/>
        <v>1229</v>
      </c>
      <c r="K7" s="16">
        <f t="shared" si="4"/>
        <v>702</v>
      </c>
      <c r="L7" s="21">
        <f t="shared" si="5"/>
        <v>730</v>
      </c>
      <c r="N7" s="15">
        <v>5</v>
      </c>
      <c r="O7" s="18">
        <f t="shared" si="6"/>
        <v>0.97467382962394478</v>
      </c>
      <c r="P7" s="18">
        <f t="shared" si="7"/>
        <v>1.0618388934092757</v>
      </c>
      <c r="Q7" s="18">
        <f t="shared" si="8"/>
        <v>1.7407407407407407</v>
      </c>
      <c r="R7" s="19">
        <f t="shared" si="9"/>
        <v>1.7657534246575342</v>
      </c>
      <c r="T7" s="15">
        <v>5</v>
      </c>
      <c r="U7" s="18">
        <f t="shared" si="10"/>
        <v>0.19493476592478895</v>
      </c>
      <c r="V7" s="18">
        <f t="shared" si="11"/>
        <v>0.21236777868185513</v>
      </c>
      <c r="W7" s="18">
        <f t="shared" si="12"/>
        <v>0.34814814814814815</v>
      </c>
      <c r="X7" s="19">
        <f t="shared" si="13"/>
        <v>0.35315068493150681</v>
      </c>
    </row>
    <row r="8" spans="1:24" x14ac:dyDescent="0.3">
      <c r="A8" s="15">
        <v>1</v>
      </c>
      <c r="B8" s="16">
        <v>7</v>
      </c>
      <c r="C8" s="16">
        <v>10</v>
      </c>
      <c r="D8" s="17">
        <v>1303</v>
      </c>
      <c r="E8" s="18">
        <f t="shared" si="0"/>
        <v>0.97467382962394478</v>
      </c>
      <c r="F8" s="19">
        <f t="shared" si="1"/>
        <v>0.1392391185177064</v>
      </c>
      <c r="H8" s="20">
        <v>6</v>
      </c>
      <c r="I8" s="16">
        <f t="shared" si="2"/>
        <v>1306</v>
      </c>
      <c r="J8" s="16">
        <f t="shared" si="3"/>
        <v>1230</v>
      </c>
      <c r="K8" s="16">
        <f t="shared" si="4"/>
        <v>703</v>
      </c>
      <c r="L8" s="21">
        <f t="shared" si="5"/>
        <v>707</v>
      </c>
      <c r="N8" s="15">
        <v>6</v>
      </c>
      <c r="O8" s="18">
        <f t="shared" si="6"/>
        <v>0.97243491577335373</v>
      </c>
      <c r="P8" s="18">
        <f t="shared" si="7"/>
        <v>1.0609756097560976</v>
      </c>
      <c r="Q8" s="18">
        <f t="shared" si="8"/>
        <v>1.7382645803698435</v>
      </c>
      <c r="R8" s="19">
        <f t="shared" si="9"/>
        <v>1.8231966053748232</v>
      </c>
      <c r="T8" s="15">
        <v>6</v>
      </c>
      <c r="U8" s="18">
        <f t="shared" si="10"/>
        <v>0.16207248596222562</v>
      </c>
      <c r="V8" s="18">
        <f t="shared" si="11"/>
        <v>0.17682926829268295</v>
      </c>
      <c r="W8" s="18">
        <f t="shared" si="12"/>
        <v>0.28971076339497392</v>
      </c>
      <c r="X8" s="19">
        <f t="shared" si="13"/>
        <v>0.30386610089580385</v>
      </c>
    </row>
    <row r="9" spans="1:24" x14ac:dyDescent="0.3">
      <c r="A9" s="15">
        <v>1</v>
      </c>
      <c r="B9" s="16">
        <v>8</v>
      </c>
      <c r="C9" s="16">
        <v>10</v>
      </c>
      <c r="D9" s="17">
        <v>1291</v>
      </c>
      <c r="E9" s="18">
        <f t="shared" si="0"/>
        <v>0.98373353989155699</v>
      </c>
      <c r="F9" s="19">
        <f t="shared" si="1"/>
        <v>0.12296669248644462</v>
      </c>
      <c r="H9" s="20">
        <v>7</v>
      </c>
      <c r="I9" s="16">
        <f t="shared" si="2"/>
        <v>1303</v>
      </c>
      <c r="J9" s="16">
        <f t="shared" si="3"/>
        <v>1277</v>
      </c>
      <c r="K9" s="16">
        <f t="shared" si="4"/>
        <v>716</v>
      </c>
      <c r="L9" s="21">
        <f t="shared" si="5"/>
        <v>700</v>
      </c>
      <c r="N9" s="15">
        <v>7</v>
      </c>
      <c r="O9" s="18">
        <f t="shared" si="6"/>
        <v>0.97467382962394478</v>
      </c>
      <c r="P9" s="18">
        <f t="shared" si="7"/>
        <v>1.0219263899765074</v>
      </c>
      <c r="Q9" s="18">
        <f t="shared" si="8"/>
        <v>1.7067039106145252</v>
      </c>
      <c r="R9" s="19">
        <f t="shared" si="9"/>
        <v>1.8414285714285714</v>
      </c>
      <c r="T9" s="15">
        <v>7</v>
      </c>
      <c r="U9" s="18">
        <f t="shared" si="10"/>
        <v>0.1392391185177064</v>
      </c>
      <c r="V9" s="18">
        <f t="shared" si="11"/>
        <v>0.1459894842823582</v>
      </c>
      <c r="W9" s="18">
        <f t="shared" si="12"/>
        <v>0.24381484437350359</v>
      </c>
      <c r="X9" s="19">
        <f t="shared" si="13"/>
        <v>0.26306122448979591</v>
      </c>
    </row>
    <row r="10" spans="1:24" x14ac:dyDescent="0.3">
      <c r="A10" s="15">
        <v>1</v>
      </c>
      <c r="B10" s="16">
        <v>9</v>
      </c>
      <c r="C10" s="16">
        <v>10</v>
      </c>
      <c r="D10" s="17">
        <v>1295</v>
      </c>
      <c r="E10" s="18">
        <f t="shared" si="0"/>
        <v>0.98069498069498073</v>
      </c>
      <c r="F10" s="19">
        <f t="shared" si="1"/>
        <v>0.10896610896610898</v>
      </c>
      <c r="H10" s="20">
        <v>8</v>
      </c>
      <c r="I10" s="16">
        <f t="shared" si="2"/>
        <v>1291</v>
      </c>
      <c r="J10" s="16">
        <f t="shared" si="3"/>
        <v>1235</v>
      </c>
      <c r="K10" s="16">
        <f t="shared" si="4"/>
        <v>717</v>
      </c>
      <c r="L10" s="21">
        <f t="shared" si="5"/>
        <v>700</v>
      </c>
      <c r="N10" s="15">
        <v>8</v>
      </c>
      <c r="O10" s="18">
        <f t="shared" si="6"/>
        <v>0.98373353989155699</v>
      </c>
      <c r="P10" s="18">
        <f t="shared" si="7"/>
        <v>1.0566801619433199</v>
      </c>
      <c r="Q10" s="18">
        <f t="shared" si="8"/>
        <v>1.7043235704323569</v>
      </c>
      <c r="R10" s="19">
        <f t="shared" si="9"/>
        <v>1.8414285714285714</v>
      </c>
      <c r="T10" s="15">
        <v>8</v>
      </c>
      <c r="U10" s="18">
        <f t="shared" si="10"/>
        <v>0.12296669248644462</v>
      </c>
      <c r="V10" s="18">
        <f t="shared" si="11"/>
        <v>0.13208502024291499</v>
      </c>
      <c r="W10" s="18">
        <f t="shared" si="12"/>
        <v>0.21304044630404462</v>
      </c>
      <c r="X10" s="19">
        <f t="shared" si="13"/>
        <v>0.23017857142857143</v>
      </c>
    </row>
    <row r="11" spans="1:24" x14ac:dyDescent="0.3">
      <c r="A11" s="15">
        <v>1</v>
      </c>
      <c r="B11" s="16">
        <v>10</v>
      </c>
      <c r="C11" s="16">
        <v>10</v>
      </c>
      <c r="D11" s="17">
        <v>1312</v>
      </c>
      <c r="E11" s="18">
        <f t="shared" si="0"/>
        <v>0.96798780487804881</v>
      </c>
      <c r="F11" s="19">
        <f t="shared" si="1"/>
        <v>9.6798780487804881E-2</v>
      </c>
      <c r="H11" s="20">
        <v>9</v>
      </c>
      <c r="I11" s="16">
        <f t="shared" si="2"/>
        <v>1295</v>
      </c>
      <c r="J11" s="16">
        <f t="shared" si="3"/>
        <v>1234</v>
      </c>
      <c r="K11" s="16">
        <f t="shared" si="4"/>
        <v>704</v>
      </c>
      <c r="L11" s="21">
        <f t="shared" si="5"/>
        <v>700</v>
      </c>
      <c r="N11" s="15">
        <v>9</v>
      </c>
      <c r="O11" s="18">
        <f t="shared" si="6"/>
        <v>0.98069498069498073</v>
      </c>
      <c r="P11" s="18">
        <f t="shared" si="7"/>
        <v>1.0575364667747165</v>
      </c>
      <c r="Q11" s="18">
        <f t="shared" si="8"/>
        <v>1.7357954545454546</v>
      </c>
      <c r="R11" s="19">
        <f t="shared" si="9"/>
        <v>1.8414285714285714</v>
      </c>
      <c r="T11" s="15">
        <v>9</v>
      </c>
      <c r="U11" s="18">
        <f t="shared" si="10"/>
        <v>0.10896610896610898</v>
      </c>
      <c r="V11" s="18">
        <f t="shared" si="11"/>
        <v>0.11750405186385739</v>
      </c>
      <c r="W11" s="18">
        <f t="shared" si="12"/>
        <v>0.19286616161616163</v>
      </c>
      <c r="X11" s="19">
        <f t="shared" si="13"/>
        <v>0.20460317460317459</v>
      </c>
    </row>
    <row r="12" spans="1:24" x14ac:dyDescent="0.3">
      <c r="A12" s="15">
        <v>1</v>
      </c>
      <c r="B12" s="16">
        <v>11</v>
      </c>
      <c r="C12" s="16">
        <v>10</v>
      </c>
      <c r="D12" s="17">
        <v>1297</v>
      </c>
      <c r="E12" s="18">
        <f t="shared" si="0"/>
        <v>0.9791827293754819</v>
      </c>
      <c r="F12" s="19">
        <f t="shared" si="1"/>
        <v>8.9016611761407446E-2</v>
      </c>
      <c r="H12" s="20">
        <v>10</v>
      </c>
      <c r="I12" s="16">
        <f t="shared" si="2"/>
        <v>1312</v>
      </c>
      <c r="J12" s="16">
        <f t="shared" si="3"/>
        <v>1238</v>
      </c>
      <c r="K12" s="16">
        <f t="shared" si="4"/>
        <v>724</v>
      </c>
      <c r="L12" s="21">
        <f t="shared" si="5"/>
        <v>702</v>
      </c>
      <c r="N12" s="15">
        <v>10</v>
      </c>
      <c r="O12" s="18">
        <f t="shared" si="6"/>
        <v>0.96798780487804881</v>
      </c>
      <c r="P12" s="18">
        <f t="shared" si="7"/>
        <v>1.054119547657512</v>
      </c>
      <c r="Q12" s="18">
        <f t="shared" si="8"/>
        <v>1.6878453038674033</v>
      </c>
      <c r="R12" s="19">
        <f t="shared" si="9"/>
        <v>1.8361823361823362</v>
      </c>
      <c r="T12" s="15">
        <v>10</v>
      </c>
      <c r="U12" s="18">
        <f t="shared" si="10"/>
        <v>9.6798780487804881E-2</v>
      </c>
      <c r="V12" s="18">
        <f t="shared" si="11"/>
        <v>0.1054119547657512</v>
      </c>
      <c r="W12" s="18">
        <f t="shared" si="12"/>
        <v>0.16878453038674032</v>
      </c>
      <c r="X12" s="19">
        <f t="shared" si="13"/>
        <v>0.18361823361823362</v>
      </c>
    </row>
    <row r="13" spans="1:24" x14ac:dyDescent="0.3">
      <c r="A13" s="15">
        <v>1</v>
      </c>
      <c r="B13" s="16">
        <v>12</v>
      </c>
      <c r="C13" s="16">
        <v>10</v>
      </c>
      <c r="D13" s="17">
        <v>1318</v>
      </c>
      <c r="E13" s="18">
        <f t="shared" si="0"/>
        <v>0.96358118361153267</v>
      </c>
      <c r="F13" s="19">
        <f t="shared" si="1"/>
        <v>8.0298431967627718E-2</v>
      </c>
      <c r="H13" s="20">
        <v>11</v>
      </c>
      <c r="I13" s="16">
        <f t="shared" si="2"/>
        <v>1297</v>
      </c>
      <c r="J13" s="16">
        <f t="shared" si="3"/>
        <v>1244</v>
      </c>
      <c r="K13" s="16">
        <f t="shared" si="4"/>
        <v>729</v>
      </c>
      <c r="L13" s="21">
        <f t="shared" si="5"/>
        <v>689</v>
      </c>
      <c r="N13" s="15">
        <v>11</v>
      </c>
      <c r="O13" s="18">
        <f t="shared" si="6"/>
        <v>0.9791827293754819</v>
      </c>
      <c r="P13" s="18">
        <f t="shared" si="7"/>
        <v>1.0490353697749195</v>
      </c>
      <c r="Q13" s="18">
        <f t="shared" si="8"/>
        <v>1.6762688614540466</v>
      </c>
      <c r="R13" s="19">
        <f t="shared" si="9"/>
        <v>1.8708272859216255</v>
      </c>
      <c r="T13" s="15">
        <v>11</v>
      </c>
      <c r="U13" s="18">
        <f t="shared" si="10"/>
        <v>8.9016611761407446E-2</v>
      </c>
      <c r="V13" s="18">
        <f t="shared" si="11"/>
        <v>9.5366851797719962E-2</v>
      </c>
      <c r="W13" s="18">
        <f t="shared" si="12"/>
        <v>0.15238807831400425</v>
      </c>
      <c r="X13" s="19">
        <f t="shared" si="13"/>
        <v>0.17007520781105687</v>
      </c>
    </row>
    <row r="14" spans="1:24" x14ac:dyDescent="0.3">
      <c r="A14" s="15">
        <v>1</v>
      </c>
      <c r="B14" s="16">
        <v>13</v>
      </c>
      <c r="C14" s="16">
        <v>10</v>
      </c>
      <c r="D14" s="17">
        <v>1311</v>
      </c>
      <c r="E14" s="18">
        <f t="shared" si="0"/>
        <v>0.96872616323417238</v>
      </c>
      <c r="F14" s="19">
        <f t="shared" si="1"/>
        <v>7.4517397171859415E-2</v>
      </c>
      <c r="H14" s="20">
        <v>12</v>
      </c>
      <c r="I14" s="16">
        <f t="shared" si="2"/>
        <v>1318</v>
      </c>
      <c r="J14" s="16">
        <f t="shared" si="3"/>
        <v>1236</v>
      </c>
      <c r="K14" s="16">
        <f t="shared" si="4"/>
        <v>711</v>
      </c>
      <c r="L14" s="21">
        <f t="shared" si="5"/>
        <v>701</v>
      </c>
      <c r="N14" s="15">
        <v>12</v>
      </c>
      <c r="O14" s="18">
        <f t="shared" si="6"/>
        <v>0.96358118361153267</v>
      </c>
      <c r="P14" s="18">
        <f t="shared" si="7"/>
        <v>1.0558252427184467</v>
      </c>
      <c r="Q14" s="18">
        <f t="shared" si="8"/>
        <v>1.7187060478199718</v>
      </c>
      <c r="R14" s="19">
        <f t="shared" si="9"/>
        <v>1.8388017118402282</v>
      </c>
      <c r="T14" s="15">
        <v>12</v>
      </c>
      <c r="U14" s="18">
        <f t="shared" si="10"/>
        <v>8.0298431967627718E-2</v>
      </c>
      <c r="V14" s="18">
        <f t="shared" si="11"/>
        <v>8.7985436893203886E-2</v>
      </c>
      <c r="W14" s="18">
        <f t="shared" si="12"/>
        <v>0.14322550398499764</v>
      </c>
      <c r="X14" s="19">
        <f t="shared" si="13"/>
        <v>0.15323347598668569</v>
      </c>
    </row>
    <row r="15" spans="1:24" x14ac:dyDescent="0.3">
      <c r="A15" s="15">
        <v>1</v>
      </c>
      <c r="B15" s="16">
        <v>14</v>
      </c>
      <c r="C15" s="16">
        <v>10</v>
      </c>
      <c r="D15" s="17">
        <v>1302</v>
      </c>
      <c r="E15" s="18">
        <f t="shared" si="0"/>
        <v>0.97542242703533022</v>
      </c>
      <c r="F15" s="19">
        <f t="shared" si="1"/>
        <v>6.9673030502523589E-2</v>
      </c>
      <c r="H15" s="20">
        <v>13</v>
      </c>
      <c r="I15" s="16">
        <f t="shared" si="2"/>
        <v>1311</v>
      </c>
      <c r="J15" s="16">
        <f t="shared" si="3"/>
        <v>1228</v>
      </c>
      <c r="K15" s="16">
        <f t="shared" si="4"/>
        <v>712</v>
      </c>
      <c r="L15" s="21">
        <f t="shared" si="5"/>
        <v>696</v>
      </c>
      <c r="N15" s="15">
        <v>13</v>
      </c>
      <c r="O15" s="18">
        <f t="shared" si="6"/>
        <v>0.96872616323417238</v>
      </c>
      <c r="P15" s="18">
        <f t="shared" si="7"/>
        <v>1.0627035830618892</v>
      </c>
      <c r="Q15" s="18">
        <f t="shared" si="8"/>
        <v>1.7162921348314606</v>
      </c>
      <c r="R15" s="19">
        <f t="shared" si="9"/>
        <v>1.8520114942528736</v>
      </c>
      <c r="T15" s="15">
        <v>13</v>
      </c>
      <c r="U15" s="18">
        <f t="shared" si="10"/>
        <v>7.4517397171859415E-2</v>
      </c>
      <c r="V15" s="18">
        <f t="shared" si="11"/>
        <v>8.1746429466299161E-2</v>
      </c>
      <c r="W15" s="18">
        <f t="shared" si="12"/>
        <v>0.13202247191011235</v>
      </c>
      <c r="X15" s="19">
        <f t="shared" si="13"/>
        <v>0.14246242263483644</v>
      </c>
    </row>
    <row r="16" spans="1:24" x14ac:dyDescent="0.3">
      <c r="A16" s="15">
        <v>1</v>
      </c>
      <c r="B16" s="16">
        <v>15</v>
      </c>
      <c r="C16" s="16">
        <v>10</v>
      </c>
      <c r="D16" s="17">
        <v>1335</v>
      </c>
      <c r="E16" s="18">
        <f>$D$2/D16</f>
        <v>0.95131086142322097</v>
      </c>
      <c r="F16" s="19">
        <f t="shared" si="1"/>
        <v>6.3420724094881392E-2</v>
      </c>
      <c r="H16" s="20">
        <v>14</v>
      </c>
      <c r="I16" s="16">
        <f t="shared" si="2"/>
        <v>1302</v>
      </c>
      <c r="J16" s="16">
        <f t="shared" si="3"/>
        <v>1226</v>
      </c>
      <c r="K16" s="16">
        <f t="shared" si="4"/>
        <v>733</v>
      </c>
      <c r="L16" s="21">
        <f t="shared" si="5"/>
        <v>705</v>
      </c>
      <c r="N16" s="15">
        <v>14</v>
      </c>
      <c r="O16" s="18">
        <f t="shared" si="6"/>
        <v>0.97542242703533022</v>
      </c>
      <c r="P16" s="18">
        <f t="shared" si="7"/>
        <v>1.064437194127243</v>
      </c>
      <c r="Q16" s="18">
        <f t="shared" si="8"/>
        <v>1.6671214188267394</v>
      </c>
      <c r="R16" s="19">
        <f t="shared" si="9"/>
        <v>1.8283687943262412</v>
      </c>
      <c r="T16" s="15">
        <v>14</v>
      </c>
      <c r="U16" s="18">
        <f t="shared" si="10"/>
        <v>6.9673030502523589E-2</v>
      </c>
      <c r="V16" s="18">
        <f t="shared" si="11"/>
        <v>7.6031228151945934E-2</v>
      </c>
      <c r="W16" s="18">
        <f t="shared" si="12"/>
        <v>0.1190801013447671</v>
      </c>
      <c r="X16" s="19">
        <f t="shared" si="13"/>
        <v>0.13059777102330294</v>
      </c>
    </row>
    <row r="17" spans="1:24" ht="15" thickBot="1" x14ac:dyDescent="0.35">
      <c r="A17" s="22">
        <v>1</v>
      </c>
      <c r="B17" s="23">
        <v>16</v>
      </c>
      <c r="C17" s="23">
        <v>10</v>
      </c>
      <c r="D17" s="24">
        <v>1302</v>
      </c>
      <c r="E17" s="25">
        <f t="shared" si="0"/>
        <v>0.97542242703533022</v>
      </c>
      <c r="F17" s="26">
        <f t="shared" si="1"/>
        <v>6.0963901689708139E-2</v>
      </c>
      <c r="H17" s="20">
        <v>15</v>
      </c>
      <c r="I17" s="16">
        <f t="shared" si="2"/>
        <v>1335</v>
      </c>
      <c r="J17" s="16">
        <f t="shared" si="3"/>
        <v>1233</v>
      </c>
      <c r="K17" s="16">
        <f t="shared" si="4"/>
        <v>723</v>
      </c>
      <c r="L17" s="21">
        <f t="shared" si="5"/>
        <v>710</v>
      </c>
      <c r="N17" s="15">
        <v>15</v>
      </c>
      <c r="O17" s="18">
        <f t="shared" si="6"/>
        <v>0.95131086142322097</v>
      </c>
      <c r="P17" s="18">
        <f t="shared" si="7"/>
        <v>1.0583941605839415</v>
      </c>
      <c r="Q17" s="18">
        <f t="shared" si="8"/>
        <v>1.690179806362379</v>
      </c>
      <c r="R17" s="19">
        <f t="shared" si="9"/>
        <v>1.8154929577464789</v>
      </c>
      <c r="T17" s="15">
        <v>15</v>
      </c>
      <c r="U17" s="18">
        <f t="shared" si="10"/>
        <v>6.3420724094881392E-2</v>
      </c>
      <c r="V17" s="18">
        <f t="shared" si="11"/>
        <v>7.0559610705596104E-2</v>
      </c>
      <c r="W17" s="18">
        <f t="shared" si="12"/>
        <v>0.11267865375749193</v>
      </c>
      <c r="X17" s="19">
        <f t="shared" si="13"/>
        <v>0.12103286384976526</v>
      </c>
    </row>
    <row r="18" spans="1:24" ht="15" thickBot="1" x14ac:dyDescent="0.35">
      <c r="A18" s="7">
        <v>2</v>
      </c>
      <c r="B18" s="8">
        <v>1</v>
      </c>
      <c r="C18" s="8">
        <v>10</v>
      </c>
      <c r="D18" s="9">
        <v>1305</v>
      </c>
      <c r="E18" s="10">
        <f>$D$18/D18</f>
        <v>1</v>
      </c>
      <c r="F18" s="11">
        <f t="shared" si="1"/>
        <v>1</v>
      </c>
      <c r="H18" s="27">
        <v>16</v>
      </c>
      <c r="I18" s="23">
        <f t="shared" si="2"/>
        <v>1302</v>
      </c>
      <c r="J18" s="23">
        <f t="shared" si="3"/>
        <v>1232</v>
      </c>
      <c r="K18" s="23">
        <f t="shared" si="4"/>
        <v>721</v>
      </c>
      <c r="L18" s="28">
        <f t="shared" si="5"/>
        <v>703</v>
      </c>
      <c r="N18" s="22">
        <v>16</v>
      </c>
      <c r="O18" s="25">
        <f t="shared" si="6"/>
        <v>0.97542242703533022</v>
      </c>
      <c r="P18" s="25">
        <f t="shared" si="7"/>
        <v>1.0592532467532467</v>
      </c>
      <c r="Q18" s="25">
        <f t="shared" si="8"/>
        <v>1.6948682385575589</v>
      </c>
      <c r="R18" s="26">
        <f t="shared" si="9"/>
        <v>1.833570412517781</v>
      </c>
      <c r="T18" s="22">
        <v>16</v>
      </c>
      <c r="U18" s="25">
        <f t="shared" si="10"/>
        <v>6.0963901689708139E-2</v>
      </c>
      <c r="V18" s="25">
        <f t="shared" si="11"/>
        <v>6.620332792207792E-2</v>
      </c>
      <c r="W18" s="25">
        <f t="shared" si="12"/>
        <v>0.10592926490984743</v>
      </c>
      <c r="X18" s="26">
        <f t="shared" si="13"/>
        <v>0.11459815078236131</v>
      </c>
    </row>
    <row r="19" spans="1:24" x14ac:dyDescent="0.3">
      <c r="A19" s="15">
        <v>2</v>
      </c>
      <c r="B19" s="16">
        <v>2</v>
      </c>
      <c r="C19" s="16">
        <v>10</v>
      </c>
      <c r="D19" s="17">
        <v>1234</v>
      </c>
      <c r="E19" s="18">
        <f t="shared" ref="E19:E33" si="14">$D$18/D19</f>
        <v>1.0575364667747165</v>
      </c>
      <c r="F19" s="19">
        <f t="shared" si="1"/>
        <v>0.52876823338735823</v>
      </c>
    </row>
    <row r="20" spans="1:24" x14ac:dyDescent="0.3">
      <c r="A20" s="15">
        <v>2</v>
      </c>
      <c r="B20" s="16">
        <v>3</v>
      </c>
      <c r="C20" s="16">
        <v>10</v>
      </c>
      <c r="D20" s="17">
        <v>1238</v>
      </c>
      <c r="E20" s="18">
        <f t="shared" si="14"/>
        <v>1.054119547657512</v>
      </c>
      <c r="F20" s="19">
        <f t="shared" si="1"/>
        <v>0.35137318255250399</v>
      </c>
    </row>
    <row r="21" spans="1:24" x14ac:dyDescent="0.3">
      <c r="A21" s="15">
        <v>2</v>
      </c>
      <c r="B21" s="16">
        <v>4</v>
      </c>
      <c r="C21" s="16">
        <v>10</v>
      </c>
      <c r="D21" s="17">
        <v>1240</v>
      </c>
      <c r="E21" s="18">
        <f t="shared" si="14"/>
        <v>1.0524193548387097</v>
      </c>
      <c r="F21" s="19">
        <f t="shared" si="1"/>
        <v>0.26310483870967744</v>
      </c>
    </row>
    <row r="22" spans="1:24" x14ac:dyDescent="0.3">
      <c r="A22" s="15">
        <v>2</v>
      </c>
      <c r="B22" s="16">
        <v>5</v>
      </c>
      <c r="C22" s="16">
        <v>10</v>
      </c>
      <c r="D22" s="17">
        <v>1229</v>
      </c>
      <c r="E22" s="18">
        <f t="shared" si="14"/>
        <v>1.0618388934092757</v>
      </c>
      <c r="F22" s="19">
        <f t="shared" si="1"/>
        <v>0.21236777868185513</v>
      </c>
    </row>
    <row r="23" spans="1:24" x14ac:dyDescent="0.3">
      <c r="A23" s="15">
        <v>2</v>
      </c>
      <c r="B23" s="16">
        <v>6</v>
      </c>
      <c r="C23" s="16">
        <v>10</v>
      </c>
      <c r="D23" s="17">
        <v>1230</v>
      </c>
      <c r="E23" s="18">
        <f t="shared" si="14"/>
        <v>1.0609756097560976</v>
      </c>
      <c r="F23" s="19">
        <f t="shared" si="1"/>
        <v>0.17682926829268295</v>
      </c>
    </row>
    <row r="24" spans="1:24" x14ac:dyDescent="0.3">
      <c r="A24" s="15">
        <v>2</v>
      </c>
      <c r="B24" s="16">
        <v>7</v>
      </c>
      <c r="C24" s="16">
        <v>10</v>
      </c>
      <c r="D24" s="17">
        <v>1277</v>
      </c>
      <c r="E24" s="18">
        <f t="shared" si="14"/>
        <v>1.0219263899765074</v>
      </c>
      <c r="F24" s="19">
        <f t="shared" si="1"/>
        <v>0.1459894842823582</v>
      </c>
    </row>
    <row r="25" spans="1:24" x14ac:dyDescent="0.3">
      <c r="A25" s="15">
        <v>2</v>
      </c>
      <c r="B25" s="16">
        <v>8</v>
      </c>
      <c r="C25" s="16">
        <v>10</v>
      </c>
      <c r="D25" s="17">
        <v>1235</v>
      </c>
      <c r="E25" s="18">
        <f t="shared" si="14"/>
        <v>1.0566801619433199</v>
      </c>
      <c r="F25" s="19">
        <f t="shared" si="1"/>
        <v>0.13208502024291499</v>
      </c>
    </row>
    <row r="26" spans="1:24" x14ac:dyDescent="0.3">
      <c r="A26" s="15">
        <v>2</v>
      </c>
      <c r="B26" s="16">
        <v>9</v>
      </c>
      <c r="C26" s="16">
        <v>10</v>
      </c>
      <c r="D26" s="17">
        <v>1234</v>
      </c>
      <c r="E26" s="18">
        <f t="shared" si="14"/>
        <v>1.0575364667747165</v>
      </c>
      <c r="F26" s="19">
        <f t="shared" si="1"/>
        <v>0.11750405186385739</v>
      </c>
    </row>
    <row r="27" spans="1:24" x14ac:dyDescent="0.3">
      <c r="A27" s="15">
        <v>2</v>
      </c>
      <c r="B27" s="16">
        <v>10</v>
      </c>
      <c r="C27" s="16">
        <v>10</v>
      </c>
      <c r="D27" s="17">
        <v>1238</v>
      </c>
      <c r="E27" s="18">
        <f t="shared" si="14"/>
        <v>1.054119547657512</v>
      </c>
      <c r="F27" s="19">
        <f t="shared" si="1"/>
        <v>0.1054119547657512</v>
      </c>
    </row>
    <row r="28" spans="1:24" x14ac:dyDescent="0.3">
      <c r="A28" s="15">
        <v>2</v>
      </c>
      <c r="B28" s="16">
        <v>11</v>
      </c>
      <c r="C28" s="16">
        <v>10</v>
      </c>
      <c r="D28" s="17">
        <v>1244</v>
      </c>
      <c r="E28" s="18">
        <f t="shared" si="14"/>
        <v>1.0490353697749195</v>
      </c>
      <c r="F28" s="19">
        <f t="shared" si="1"/>
        <v>9.5366851797719962E-2</v>
      </c>
    </row>
    <row r="29" spans="1:24" x14ac:dyDescent="0.3">
      <c r="A29" s="15">
        <v>2</v>
      </c>
      <c r="B29" s="16">
        <v>12</v>
      </c>
      <c r="C29" s="16">
        <v>10</v>
      </c>
      <c r="D29" s="17">
        <v>1236</v>
      </c>
      <c r="E29" s="18">
        <f t="shared" si="14"/>
        <v>1.0558252427184467</v>
      </c>
      <c r="F29" s="19">
        <f t="shared" si="1"/>
        <v>8.7985436893203886E-2</v>
      </c>
    </row>
    <row r="30" spans="1:24" x14ac:dyDescent="0.3">
      <c r="A30" s="15">
        <v>2</v>
      </c>
      <c r="B30" s="16">
        <v>13</v>
      </c>
      <c r="C30" s="16">
        <v>10</v>
      </c>
      <c r="D30" s="17">
        <v>1228</v>
      </c>
      <c r="E30" s="18">
        <f t="shared" si="14"/>
        <v>1.0627035830618892</v>
      </c>
      <c r="F30" s="19">
        <f t="shared" si="1"/>
        <v>8.1746429466299161E-2</v>
      </c>
    </row>
    <row r="31" spans="1:24" x14ac:dyDescent="0.3">
      <c r="A31" s="15">
        <v>2</v>
      </c>
      <c r="B31" s="16">
        <v>14</v>
      </c>
      <c r="C31" s="16">
        <v>10</v>
      </c>
      <c r="D31" s="17">
        <v>1226</v>
      </c>
      <c r="E31" s="18">
        <f t="shared" si="14"/>
        <v>1.064437194127243</v>
      </c>
      <c r="F31" s="19">
        <f t="shared" si="1"/>
        <v>7.6031228151945934E-2</v>
      </c>
    </row>
    <row r="32" spans="1:24" x14ac:dyDescent="0.3">
      <c r="A32" s="15">
        <v>2</v>
      </c>
      <c r="B32" s="16">
        <v>15</v>
      </c>
      <c r="C32" s="16">
        <v>10</v>
      </c>
      <c r="D32" s="17">
        <v>1233</v>
      </c>
      <c r="E32" s="18">
        <f t="shared" si="14"/>
        <v>1.0583941605839415</v>
      </c>
      <c r="F32" s="19">
        <f t="shared" si="1"/>
        <v>7.0559610705596104E-2</v>
      </c>
    </row>
    <row r="33" spans="1:6" ht="15" thickBot="1" x14ac:dyDescent="0.35">
      <c r="A33" s="22">
        <v>2</v>
      </c>
      <c r="B33" s="23">
        <v>16</v>
      </c>
      <c r="C33" s="23">
        <v>10</v>
      </c>
      <c r="D33" s="24">
        <v>1232</v>
      </c>
      <c r="E33" s="25">
        <f t="shared" si="14"/>
        <v>1.0592532467532467</v>
      </c>
      <c r="F33" s="26">
        <f t="shared" si="1"/>
        <v>6.620332792207792E-2</v>
      </c>
    </row>
    <row r="34" spans="1:6" x14ac:dyDescent="0.3">
      <c r="A34" s="7">
        <v>3</v>
      </c>
      <c r="B34" s="8">
        <v>1</v>
      </c>
      <c r="C34" s="8">
        <v>10</v>
      </c>
      <c r="D34" s="9">
        <v>1222</v>
      </c>
      <c r="E34" s="10">
        <f>$D$34/D34</f>
        <v>1</v>
      </c>
      <c r="F34" s="11">
        <f t="shared" si="1"/>
        <v>1</v>
      </c>
    </row>
    <row r="35" spans="1:6" x14ac:dyDescent="0.3">
      <c r="A35" s="15">
        <v>3</v>
      </c>
      <c r="B35" s="16">
        <v>2</v>
      </c>
      <c r="C35" s="16">
        <v>10</v>
      </c>
      <c r="D35" s="17">
        <v>741</v>
      </c>
      <c r="E35" s="18">
        <f t="shared" ref="E35:E49" si="15">$D$34/D35</f>
        <v>1.6491228070175439</v>
      </c>
      <c r="F35" s="19">
        <f t="shared" si="1"/>
        <v>0.82456140350877194</v>
      </c>
    </row>
    <row r="36" spans="1:6" x14ac:dyDescent="0.3">
      <c r="A36" s="15">
        <v>3</v>
      </c>
      <c r="B36" s="16">
        <v>3</v>
      </c>
      <c r="C36" s="16">
        <v>10</v>
      </c>
      <c r="D36" s="17">
        <v>700</v>
      </c>
      <c r="E36" s="18">
        <f t="shared" si="15"/>
        <v>1.7457142857142858</v>
      </c>
      <c r="F36" s="19">
        <f t="shared" si="1"/>
        <v>0.58190476190476192</v>
      </c>
    </row>
    <row r="37" spans="1:6" x14ac:dyDescent="0.3">
      <c r="A37" s="15">
        <v>3</v>
      </c>
      <c r="B37" s="16">
        <v>4</v>
      </c>
      <c r="C37" s="16">
        <v>10</v>
      </c>
      <c r="D37" s="17">
        <v>716</v>
      </c>
      <c r="E37" s="18">
        <f t="shared" si="15"/>
        <v>1.7067039106145252</v>
      </c>
      <c r="F37" s="19">
        <f t="shared" si="1"/>
        <v>0.4266759776536313</v>
      </c>
    </row>
    <row r="38" spans="1:6" x14ac:dyDescent="0.3">
      <c r="A38" s="15">
        <v>3</v>
      </c>
      <c r="B38" s="16">
        <v>5</v>
      </c>
      <c r="C38" s="16">
        <v>10</v>
      </c>
      <c r="D38" s="17">
        <v>702</v>
      </c>
      <c r="E38" s="18">
        <f t="shared" si="15"/>
        <v>1.7407407407407407</v>
      </c>
      <c r="F38" s="19">
        <f t="shared" si="1"/>
        <v>0.34814814814814815</v>
      </c>
    </row>
    <row r="39" spans="1:6" x14ac:dyDescent="0.3">
      <c r="A39" s="15">
        <v>3</v>
      </c>
      <c r="B39" s="16">
        <v>6</v>
      </c>
      <c r="C39" s="16">
        <v>10</v>
      </c>
      <c r="D39" s="17">
        <v>703</v>
      </c>
      <c r="E39" s="18">
        <f t="shared" si="15"/>
        <v>1.7382645803698435</v>
      </c>
      <c r="F39" s="19">
        <f t="shared" si="1"/>
        <v>0.28971076339497392</v>
      </c>
    </row>
    <row r="40" spans="1:6" x14ac:dyDescent="0.3">
      <c r="A40" s="15">
        <v>3</v>
      </c>
      <c r="B40" s="16">
        <v>7</v>
      </c>
      <c r="C40" s="16">
        <v>10</v>
      </c>
      <c r="D40" s="17">
        <v>716</v>
      </c>
      <c r="E40" s="18">
        <f t="shared" si="15"/>
        <v>1.7067039106145252</v>
      </c>
      <c r="F40" s="19">
        <f t="shared" si="1"/>
        <v>0.24381484437350359</v>
      </c>
    </row>
    <row r="41" spans="1:6" x14ac:dyDescent="0.3">
      <c r="A41" s="15">
        <v>3</v>
      </c>
      <c r="B41" s="16">
        <v>8</v>
      </c>
      <c r="C41" s="16">
        <v>10</v>
      </c>
      <c r="D41" s="17">
        <v>717</v>
      </c>
      <c r="E41" s="18">
        <f t="shared" si="15"/>
        <v>1.7043235704323569</v>
      </c>
      <c r="F41" s="19">
        <f t="shared" si="1"/>
        <v>0.21304044630404462</v>
      </c>
    </row>
    <row r="42" spans="1:6" x14ac:dyDescent="0.3">
      <c r="A42" s="15">
        <v>3</v>
      </c>
      <c r="B42" s="16">
        <v>9</v>
      </c>
      <c r="C42" s="16">
        <v>10</v>
      </c>
      <c r="D42" s="17">
        <v>704</v>
      </c>
      <c r="E42" s="18">
        <f t="shared" si="15"/>
        <v>1.7357954545454546</v>
      </c>
      <c r="F42" s="19">
        <f t="shared" si="1"/>
        <v>0.19286616161616163</v>
      </c>
    </row>
    <row r="43" spans="1:6" x14ac:dyDescent="0.3">
      <c r="A43" s="15">
        <v>3</v>
      </c>
      <c r="B43" s="16">
        <v>10</v>
      </c>
      <c r="C43" s="16">
        <v>10</v>
      </c>
      <c r="D43" s="17">
        <v>724</v>
      </c>
      <c r="E43" s="18">
        <f t="shared" si="15"/>
        <v>1.6878453038674033</v>
      </c>
      <c r="F43" s="19">
        <f t="shared" si="1"/>
        <v>0.16878453038674032</v>
      </c>
    </row>
    <row r="44" spans="1:6" x14ac:dyDescent="0.3">
      <c r="A44" s="15">
        <v>3</v>
      </c>
      <c r="B44" s="16">
        <v>11</v>
      </c>
      <c r="C44" s="16">
        <v>10</v>
      </c>
      <c r="D44" s="17">
        <v>729</v>
      </c>
      <c r="E44" s="18">
        <f t="shared" si="15"/>
        <v>1.6762688614540466</v>
      </c>
      <c r="F44" s="19">
        <f t="shared" si="1"/>
        <v>0.15238807831400425</v>
      </c>
    </row>
    <row r="45" spans="1:6" x14ac:dyDescent="0.3">
      <c r="A45" s="15">
        <v>3</v>
      </c>
      <c r="B45" s="16">
        <v>12</v>
      </c>
      <c r="C45" s="16">
        <v>10</v>
      </c>
      <c r="D45" s="17">
        <v>711</v>
      </c>
      <c r="E45" s="18">
        <f t="shared" si="15"/>
        <v>1.7187060478199718</v>
      </c>
      <c r="F45" s="19">
        <f t="shared" si="1"/>
        <v>0.14322550398499764</v>
      </c>
    </row>
    <row r="46" spans="1:6" x14ac:dyDescent="0.3">
      <c r="A46" s="15">
        <v>3</v>
      </c>
      <c r="B46" s="16">
        <v>13</v>
      </c>
      <c r="C46" s="16">
        <v>10</v>
      </c>
      <c r="D46" s="17">
        <v>712</v>
      </c>
      <c r="E46" s="18">
        <f t="shared" si="15"/>
        <v>1.7162921348314606</v>
      </c>
      <c r="F46" s="19">
        <f t="shared" si="1"/>
        <v>0.13202247191011235</v>
      </c>
    </row>
    <row r="47" spans="1:6" x14ac:dyDescent="0.3">
      <c r="A47" s="15">
        <v>3</v>
      </c>
      <c r="B47" s="16">
        <v>14</v>
      </c>
      <c r="C47" s="16">
        <v>10</v>
      </c>
      <c r="D47" s="17">
        <v>733</v>
      </c>
      <c r="E47" s="18">
        <f t="shared" si="15"/>
        <v>1.6671214188267394</v>
      </c>
      <c r="F47" s="19">
        <f t="shared" si="1"/>
        <v>0.1190801013447671</v>
      </c>
    </row>
    <row r="48" spans="1:6" x14ac:dyDescent="0.3">
      <c r="A48" s="15">
        <v>3</v>
      </c>
      <c r="B48" s="16">
        <v>15</v>
      </c>
      <c r="C48" s="16">
        <v>10</v>
      </c>
      <c r="D48" s="17">
        <v>723</v>
      </c>
      <c r="E48" s="18">
        <f t="shared" si="15"/>
        <v>1.690179806362379</v>
      </c>
      <c r="F48" s="19">
        <f t="shared" si="1"/>
        <v>0.11267865375749193</v>
      </c>
    </row>
    <row r="49" spans="1:6" ht="15" thickBot="1" x14ac:dyDescent="0.35">
      <c r="A49" s="22">
        <v>3</v>
      </c>
      <c r="B49" s="23">
        <v>16</v>
      </c>
      <c r="C49" s="23">
        <v>10</v>
      </c>
      <c r="D49" s="24">
        <v>721</v>
      </c>
      <c r="E49" s="25">
        <f t="shared" si="15"/>
        <v>1.6948682385575589</v>
      </c>
      <c r="F49" s="26">
        <f t="shared" si="1"/>
        <v>0.10592926490984743</v>
      </c>
    </row>
    <row r="50" spans="1:6" x14ac:dyDescent="0.3">
      <c r="A50" s="7">
        <v>4</v>
      </c>
      <c r="B50" s="8">
        <v>1</v>
      </c>
      <c r="C50" s="8">
        <v>10</v>
      </c>
      <c r="D50" s="9">
        <v>1289</v>
      </c>
      <c r="E50" s="10">
        <f>$D$50/D50</f>
        <v>1</v>
      </c>
      <c r="F50" s="11">
        <f t="shared" si="1"/>
        <v>1</v>
      </c>
    </row>
    <row r="51" spans="1:6" x14ac:dyDescent="0.3">
      <c r="A51" s="15">
        <v>4</v>
      </c>
      <c r="B51" s="16">
        <v>2</v>
      </c>
      <c r="C51" s="16">
        <v>10</v>
      </c>
      <c r="D51" s="17">
        <v>864</v>
      </c>
      <c r="E51" s="18">
        <f t="shared" ref="E51:E65" si="16">$D$50/D51</f>
        <v>1.4918981481481481</v>
      </c>
      <c r="F51" s="19">
        <f t="shared" si="1"/>
        <v>0.74594907407407407</v>
      </c>
    </row>
    <row r="52" spans="1:6" x14ac:dyDescent="0.3">
      <c r="A52" s="15">
        <v>4</v>
      </c>
      <c r="B52" s="16">
        <v>3</v>
      </c>
      <c r="C52" s="16">
        <v>10</v>
      </c>
      <c r="D52" s="17">
        <v>725</v>
      </c>
      <c r="E52" s="18">
        <f t="shared" si="16"/>
        <v>1.7779310344827586</v>
      </c>
      <c r="F52" s="19">
        <f t="shared" si="1"/>
        <v>0.59264367816091956</v>
      </c>
    </row>
    <row r="53" spans="1:6" x14ac:dyDescent="0.3">
      <c r="A53" s="15">
        <v>4</v>
      </c>
      <c r="B53" s="16">
        <v>4</v>
      </c>
      <c r="C53" s="16">
        <v>10</v>
      </c>
      <c r="D53" s="17">
        <v>694</v>
      </c>
      <c r="E53" s="18">
        <f t="shared" si="16"/>
        <v>1.8573487031700289</v>
      </c>
      <c r="F53" s="19">
        <f t="shared" si="1"/>
        <v>0.46433717579250722</v>
      </c>
    </row>
    <row r="54" spans="1:6" x14ac:dyDescent="0.3">
      <c r="A54" s="15">
        <v>4</v>
      </c>
      <c r="B54" s="16">
        <v>5</v>
      </c>
      <c r="C54" s="16">
        <v>10</v>
      </c>
      <c r="D54" s="17">
        <v>730</v>
      </c>
      <c r="E54" s="18">
        <f t="shared" si="16"/>
        <v>1.7657534246575342</v>
      </c>
      <c r="F54" s="19">
        <f t="shared" si="1"/>
        <v>0.35315068493150681</v>
      </c>
    </row>
    <row r="55" spans="1:6" x14ac:dyDescent="0.3">
      <c r="A55" s="15">
        <v>4</v>
      </c>
      <c r="B55" s="16">
        <v>6</v>
      </c>
      <c r="C55" s="16">
        <v>10</v>
      </c>
      <c r="D55" s="17">
        <v>707</v>
      </c>
      <c r="E55" s="18">
        <f t="shared" si="16"/>
        <v>1.8231966053748232</v>
      </c>
      <c r="F55" s="19">
        <f t="shared" si="1"/>
        <v>0.30386610089580385</v>
      </c>
    </row>
    <row r="56" spans="1:6" x14ac:dyDescent="0.3">
      <c r="A56" s="15">
        <v>4</v>
      </c>
      <c r="B56" s="16">
        <v>7</v>
      </c>
      <c r="C56" s="16">
        <v>10</v>
      </c>
      <c r="D56" s="17">
        <v>700</v>
      </c>
      <c r="E56" s="18">
        <f t="shared" si="16"/>
        <v>1.8414285714285714</v>
      </c>
      <c r="F56" s="19">
        <f t="shared" si="1"/>
        <v>0.26306122448979591</v>
      </c>
    </row>
    <row r="57" spans="1:6" x14ac:dyDescent="0.3">
      <c r="A57" s="15">
        <v>4</v>
      </c>
      <c r="B57" s="16">
        <v>8</v>
      </c>
      <c r="C57" s="16">
        <v>10</v>
      </c>
      <c r="D57" s="17">
        <v>700</v>
      </c>
      <c r="E57" s="18">
        <f t="shared" si="16"/>
        <v>1.8414285714285714</v>
      </c>
      <c r="F57" s="19">
        <f t="shared" si="1"/>
        <v>0.23017857142857143</v>
      </c>
    </row>
    <row r="58" spans="1:6" x14ac:dyDescent="0.3">
      <c r="A58" s="15">
        <v>4</v>
      </c>
      <c r="B58" s="16">
        <v>9</v>
      </c>
      <c r="C58" s="16">
        <v>10</v>
      </c>
      <c r="D58" s="17">
        <v>700</v>
      </c>
      <c r="E58" s="18">
        <f t="shared" si="16"/>
        <v>1.8414285714285714</v>
      </c>
      <c r="F58" s="19">
        <f t="shared" si="1"/>
        <v>0.20460317460317459</v>
      </c>
    </row>
    <row r="59" spans="1:6" x14ac:dyDescent="0.3">
      <c r="A59" s="15">
        <v>4</v>
      </c>
      <c r="B59" s="16">
        <v>10</v>
      </c>
      <c r="C59" s="16">
        <v>10</v>
      </c>
      <c r="D59" s="17">
        <v>702</v>
      </c>
      <c r="E59" s="18">
        <f t="shared" si="16"/>
        <v>1.8361823361823362</v>
      </c>
      <c r="F59" s="19">
        <f t="shared" si="1"/>
        <v>0.18361823361823362</v>
      </c>
    </row>
    <row r="60" spans="1:6" x14ac:dyDescent="0.3">
      <c r="A60" s="15">
        <v>4</v>
      </c>
      <c r="B60" s="16">
        <v>11</v>
      </c>
      <c r="C60" s="16">
        <v>10</v>
      </c>
      <c r="D60" s="17">
        <v>689</v>
      </c>
      <c r="E60" s="18">
        <f t="shared" si="16"/>
        <v>1.8708272859216255</v>
      </c>
      <c r="F60" s="19">
        <f t="shared" si="1"/>
        <v>0.17007520781105687</v>
      </c>
    </row>
    <row r="61" spans="1:6" x14ac:dyDescent="0.3">
      <c r="A61" s="15">
        <v>4</v>
      </c>
      <c r="B61" s="16">
        <v>12</v>
      </c>
      <c r="C61" s="16">
        <v>10</v>
      </c>
      <c r="D61" s="17">
        <v>701</v>
      </c>
      <c r="E61" s="18">
        <f t="shared" si="16"/>
        <v>1.8388017118402282</v>
      </c>
      <c r="F61" s="19">
        <f t="shared" si="1"/>
        <v>0.15323347598668569</v>
      </c>
    </row>
    <row r="62" spans="1:6" x14ac:dyDescent="0.3">
      <c r="A62" s="15">
        <v>4</v>
      </c>
      <c r="B62" s="16">
        <v>13</v>
      </c>
      <c r="C62" s="16">
        <v>10</v>
      </c>
      <c r="D62" s="17">
        <v>696</v>
      </c>
      <c r="E62" s="18">
        <f t="shared" si="16"/>
        <v>1.8520114942528736</v>
      </c>
      <c r="F62" s="19">
        <f t="shared" si="1"/>
        <v>0.14246242263483644</v>
      </c>
    </row>
    <row r="63" spans="1:6" x14ac:dyDescent="0.3">
      <c r="A63" s="15">
        <v>4</v>
      </c>
      <c r="B63" s="16">
        <v>14</v>
      </c>
      <c r="C63" s="16">
        <v>10</v>
      </c>
      <c r="D63" s="17">
        <v>705</v>
      </c>
      <c r="E63" s="18">
        <f t="shared" si="16"/>
        <v>1.8283687943262412</v>
      </c>
      <c r="F63" s="19">
        <f t="shared" si="1"/>
        <v>0.13059777102330294</v>
      </c>
    </row>
    <row r="64" spans="1:6" x14ac:dyDescent="0.3">
      <c r="A64" s="15">
        <v>4</v>
      </c>
      <c r="B64" s="16">
        <v>15</v>
      </c>
      <c r="C64" s="16">
        <v>10</v>
      </c>
      <c r="D64" s="17">
        <v>710</v>
      </c>
      <c r="E64" s="18">
        <f t="shared" si="16"/>
        <v>1.8154929577464789</v>
      </c>
      <c r="F64" s="19">
        <f t="shared" si="1"/>
        <v>0.12103286384976526</v>
      </c>
    </row>
    <row r="65" spans="1:6" ht="15" thickBot="1" x14ac:dyDescent="0.35">
      <c r="A65" s="22">
        <v>4</v>
      </c>
      <c r="B65" s="23">
        <v>16</v>
      </c>
      <c r="C65" s="23">
        <v>10</v>
      </c>
      <c r="D65" s="24">
        <v>703</v>
      </c>
      <c r="E65" s="25">
        <f t="shared" si="16"/>
        <v>1.833570412517781</v>
      </c>
      <c r="F65" s="26">
        <f t="shared" si="1"/>
        <v>0.11459815078236131</v>
      </c>
    </row>
  </sheetData>
  <mergeCells count="3">
    <mergeCell ref="H1:L1"/>
    <mergeCell ref="N1:R1"/>
    <mergeCell ref="T1:X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medians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Рябчикова</dc:creator>
  <cp:lastModifiedBy>oryab</cp:lastModifiedBy>
  <dcterms:created xsi:type="dcterms:W3CDTF">2026-09-30T12:05:46Z</dcterms:created>
  <dcterms:modified xsi:type="dcterms:W3CDTF">2026-09-30T12:12:35Z</dcterms:modified>
</cp:coreProperties>
</file>